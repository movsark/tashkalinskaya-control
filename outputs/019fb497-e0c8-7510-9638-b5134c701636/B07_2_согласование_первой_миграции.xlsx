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7673e2c14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шение" sheetId="1" r:id="R82728c1fe14d41cb"/>
    <x:sheet xmlns:r="http://schemas.openxmlformats.org/officeDocument/2006/relationships" name="Товары" sheetId="2" r:id="R48adc53728bd49aa"/>
    <x:sheet xmlns:r="http://schemas.openxmlformats.org/officeDocument/2006/relationships" name="Пустые количества" sheetId="3" r:id="Raafd5395f4e443c4"/>
    <x:sheet xmlns:r="http://schemas.openxmlformats.org/officeDocument/2006/relationships" name="Контроль блоков" sheetId="4" r:id="R43516f8a65bb45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17324D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7F6000"/>
      <x:name val="Aptos"/>
    </x:font>
    <x:font>
      <x:b/>
      <x:sz val="10"/>
      <x:color rgb="FF17324D"/>
      <x:name val="Aptos"/>
    </x:font>
    <x:font>
      <x:b/>
      <x:sz val="16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6B5F"/>
      </x:patternFill>
    </x:fill>
    <x:fill>
      <x:patternFill patternType="solid">
        <x:fgColor rgb="FFFFF2CC"/>
      </x:patternFill>
    </x:fill>
    <x:fill>
      <x:patternFill patternType="solid">
        <x:fgColor rgb="FFDCE8F2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 wrapText="1"/>
    </x:xf>
    <x:xf numFmtId="200" fontId="7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5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993e39dcd4309" /><Relationship Type="http://schemas.openxmlformats.org/officeDocument/2006/relationships/theme" Target="/xl/theme/theme1.xml" Id="Rc8499b2b31934283" /><Relationship Type="http://schemas.openxmlformats.org/officeDocument/2006/relationships/sharedStrings" Target="/xl/sharedStrings.xml" Id="R1d05b6f131c44333" /><Relationship Type="http://schemas.openxmlformats.org/officeDocument/2006/relationships/worksheet" Target="/xl/worksheets/sheet1.xml" Id="R82728c1fe14d41cb" /><Relationship Type="http://schemas.openxmlformats.org/officeDocument/2006/relationships/worksheet" Target="/xl/worksheets/sheet2.xml" Id="R48adc53728bd49aa" /><Relationship Type="http://schemas.openxmlformats.org/officeDocument/2006/relationships/worksheet" Target="/xl/worksheets/sheet3.xml" Id="Raafd5395f4e443c4" /><Relationship Type="http://schemas.openxmlformats.org/officeDocument/2006/relationships/worksheet" Target="/xl/worksheets/sheet4.xml" Id="R43516f8a65bb45bb" /></Relationships>
</file>

<file path=xl/tables/table1.xml><?xml version="1.0" encoding="utf-8"?>
<x:table xmlns:x="http://schemas.openxmlformats.org/spreadsheetml/2006/main" id="1" name="B07ProductApproval" displayName="B07ProductApproval" ref="A3:G81" headerRowCount="1" totalsRowCount="0" totalsRowShown="0">
  <x:tableColumns count="7">
    <x:tableColumn id="1" name="Код товара"/>
    <x:tableColumn id="2" name="Исходное наименование"/>
    <x:tableColumn id="3" name="Предлагаемая категория"/>
    <x:tableColumn id="4" name="Штрихкод"/>
    <x:tableColumn id="5" name="Основной цех"/>
    <x:tableColumn id="6" name="Решение"/>
    <x:tableColumn id="7" name="Комментарий / исправл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07BlankQuantities" displayName="B07BlankQuantities" ref="A3:H10" headerRowCount="1" totalsRowCount="0" totalsRowShown="0">
  <x:tableColumns count="8">
    <x:tableColumn id="1" name="Лист"/>
    <x:tableColumn id="2" name="Строка"/>
    <x:tableColumn id="3" name="Территория"/>
    <x:tableColumn id="4" name="День / вариант"/>
    <x:tableColumn id="5" name="Товар"/>
    <x:tableColumn id="6" name="Колонки"/>
    <x:tableColumn id="7" name="Верное количество"/>
    <x:tableColumn id="8" name="Комментар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07SourceBlocks" displayName="B07SourceBlocks" ref="A3:I58" headerRowCount="1" totalsRowCount="0" totalsRowShown="0">
  <x:tableColumns count="9">
    <x:tableColumn id="1" name="Лист"/>
    <x:tableColumn id="2" name="Строка заголовка"/>
    <x:tableColumn id="3" name="Территория"/>
    <x:tableColumn id="4" name="День / вариант"/>
    <x:tableColumn id="5" name="Товаров"/>
    <x:tableColumn id="6" name="Положительных"/>
    <x:tableColumn id="7" name="Нулей"/>
    <x:tableColumn id="8" name="Пустых"/>
    <x:tableColumn id="9" name="Сумма известных количеств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f7ac1a77a648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0b3a62f9434d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ba6cf882eb45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70" hidden="0" customWidth="1"/>
    <x:col min="3" max="3" width="54" hidden="0" customWidth="1"/>
  </x:cols>
  <x:sheetData>
    <x:row r="1">
      <x:c r="A1" s="19" t="str">
        <x:v>B07.2 · Согласование первой миграции</x:v>
      </x:c>
      <x:c r="B1" s="19"/>
      <x:c r="C1" s="19"/>
      <x:c r="D1" s="19"/>
      <x:c r="E1" s="19"/>
      <x:c r="F1" s="19"/>
    </x:row>
    <x:row r="2">
      <x:c r="A2" s="14"/>
      <x:c r="B2" s="14"/>
      <x:c r="C2" s="14"/>
      <x:c r="D2" s="14"/>
      <x:c r="E2" s="14"/>
      <x:c r="F2" s="14"/>
    </x:row>
    <x:row r="3">
      <x:c r="A3" s="15" t="str">
        <x:v>Решение владельца</x:v>
      </x:c>
      <x:c r="B3" s="15" t="str">
        <x:v>Значение</x:v>
      </x:c>
      <x:c r="C3" s="14"/>
      <x:c r="D3" s="14"/>
      <x:c r="E3" s="14"/>
      <x:c r="F3" s="14"/>
    </x:row>
    <x:row r="4">
      <x:c r="A4" s="14" t="str">
        <x:v>Дата начала действия норм</x:v>
      </x:c>
      <x:c r="B4" s="16"/>
      <x:c r="C4" s="14"/>
      <x:c r="D4" s="14"/>
      <x:c r="E4" s="14"/>
      <x:c r="F4" s="14"/>
    </x:row>
    <x:row r="5">
      <x:c r="A5" s="14" t="str">
        <x:v>Два пятничных блока территории 9</x:v>
      </x:c>
      <x:c r="B5" s="14" t="str">
        <x:v>Суммировать (принято)</x:v>
      </x:c>
      <x:c r="C5" s="14"/>
      <x:c r="D5" s="14"/>
      <x:c r="E5" s="14"/>
      <x:c r="F5" s="14"/>
    </x:row>
    <x:row r="6">
      <x:c r="A6" s="14" t="str">
        <x:v>Категория «Пироги» — это итог, не товар</x:v>
      </x:c>
      <x:c r="B6" s="14" t="str">
        <x:v>Да</x:v>
      </x:c>
      <x:c r="C6" s="14"/>
      <x:c r="D6" s="14"/>
      <x:c r="E6" s="14"/>
      <x:c r="F6" s="14"/>
    </x:row>
    <x:row r="7">
      <x:c r="A7" s="14" t="str">
        <x:v>«Прочее» и «Сухая выпечка» — итоги, не товары</x:v>
      </x:c>
      <x:c r="B7" s="14" t="str">
        <x:v>Да</x:v>
      </x:c>
      <x:c r="C7" s="14"/>
      <x:c r="D7" s="14"/>
      <x:c r="E7" s="14"/>
      <x:c r="F7" s="14"/>
    </x:row>
    <x:row r="8">
      <x:c r="A8" s="14"/>
      <x:c r="B8" s="14"/>
      <x:c r="C8" s="14"/>
      <x:c r="D8" s="14"/>
      <x:c r="E8" s="14"/>
      <x:c r="F8" s="14"/>
    </x:row>
    <x:row r="9">
      <x:c r="A9" s="15" t="str">
        <x:v>Контроль источника</x:v>
      </x:c>
      <x:c r="B9" s="15" t="str">
        <x:v>Значение</x:v>
      </x:c>
      <x:c r="C9" s="15" t="str">
        <x:v>Пояснение</x:v>
      </x:c>
      <x:c r="D9" s="14"/>
      <x:c r="E9" s="14"/>
      <x:c r="F9" s="14"/>
    </x:row>
    <x:row r="10">
      <x:c r="A10" s="14" t="str">
        <x:v>SHA-256</x:v>
      </x:c>
      <x:c r="B10" s="14" t="str">
        <x:v>42f29f2fc2c087f56f6c2dd28f4c8e084608904d5693b922ef87564c3e2ab16c</x:v>
      </x:c>
      <x:c r="C10" s="14" t="str">
        <x:v>Изменение файла требует нового анализа</x:v>
      </x:c>
      <x:c r="D10" s="14"/>
      <x:c r="E10" s="14"/>
      <x:c r="F10" s="14"/>
    </x:row>
    <x:row r="11">
      <x:c r="A11" s="14" t="str">
        <x:v>Текущие листы норм</x:v>
      </x:c>
      <x:c r="B11" s="14" t="n">
        <x:v>6</x:v>
      </x:c>
      <x:c r="C11" s="14" t="str">
        <x:v>Пн, Вт, Ср, Чт, Сб, Вс</x:v>
      </x:c>
      <x:c r="D11" s="14"/>
      <x:c r="E11" s="14"/>
      <x:c r="F11" s="14"/>
    </x:row>
    <x:row r="12">
      <x:c r="A12" s="14" t="str">
        <x:v>Блоки территория/день</x:v>
      </x:c>
      <x:c r="B12" s="14" t="n">
        <x:v>55</x:v>
      </x:c>
      <x:c r="C12" s="14" t="str">
        <x:v>На листе Чт два блока территории 9 на пятницу</x:v>
      </x:c>
      <x:c r="D12" s="14"/>
      <x:c r="E12" s="14"/>
      <x:c r="F12" s="14"/>
    </x:row>
    <x:row r="13">
      <x:c r="A13" s="14" t="str">
        <x:v>Реальные товары</x:v>
      </x:c>
      <x:c r="B13" s="14" t="n">
        <x:v>78</x:v>
      </x:c>
      <x:c r="C13" s="14" t="str">
        <x:v>После исключения итогов категорий</x:v>
      </x:c>
      <x:c r="D13" s="14"/>
      <x:c r="E13" s="14"/>
      <x:c r="F13" s="14"/>
    </x:row>
    <x:row r="14">
      <x:c r="A14" s="14" t="str">
        <x:v>Строки товаров</x:v>
      </x:c>
      <x:c r="B14" s="14" t="n">
        <x:v>4290</x:v>
      </x:c>
      <x:c r="C14" s="14" t="str">
        <x:v>55 × 78</x:v>
      </x:c>
      <x:c r="D14" s="14"/>
      <x:c r="E14" s="14"/>
      <x:c r="F14" s="14"/>
    </x:row>
    <x:row r="15">
      <x:c r="A15" s="14" t="str">
        <x:v>Положительные количества</x:v>
      </x:c>
      <x:c r="B15" s="14" t="n">
        <x:v>2514</x:v>
      </x:c>
      <x:c r="C15" s="14" t="str">
        <x:v>Без итогов категорий</x:v>
      </x:c>
      <x:c r="D15" s="14"/>
      <x:c r="E15" s="14"/>
      <x:c r="F15" s="14"/>
    </x:row>
    <x:row r="16">
      <x:c r="A16" s="14" t="str">
        <x:v>Явные нули</x:v>
      </x:c>
      <x:c r="B16" s="14" t="n">
        <x:v>1769</x:v>
      </x:c>
      <x:c r="C16" s="14" t="str">
        <x:v>Не создают активную норму</x:v>
      </x:c>
      <x:c r="D16" s="14"/>
      <x:c r="E16" s="14"/>
      <x:c r="F16" s="14"/>
    </x:row>
    <x:row r="17">
      <x:c r="A17" s="14" t="str">
        <x:v>Пустые количества</x:v>
      </x:c>
      <x:c r="B17" s="14" t="n">
        <x:v>7</x:v>
      </x:c>
      <x:c r="C17" s="14" t="str">
        <x:v>Нужно исправить до импорта</x:v>
      </x:c>
      <x:c r="D17" s="14"/>
      <x:c r="E17" s="14"/>
      <x:c r="F17" s="14"/>
    </x:row>
    <x:row r="18">
      <x:c r="A18" s="14"/>
      <x:c r="B18" s="14"/>
      <x:c r="C18" s="14"/>
      <x:c r="D18" s="14"/>
      <x:c r="E18" s="14"/>
      <x:c r="F18" s="14"/>
    </x:row>
    <x:row r="19">
      <x:c r="A19" s="15" t="str">
        <x:v>Готовность</x:v>
      </x:c>
      <x:c r="B19" s="15" t="str">
        <x:v>Результат</x:v>
      </x:c>
      <x:c r="C19" s="14"/>
      <x:c r="D19" s="14"/>
      <x:c r="E19" s="14"/>
      <x:c r="F19" s="14"/>
    </x:row>
    <x:row r="20">
      <x:c r="A20" s="14" t="str">
        <x:v>Дата начала</x:v>
      </x:c>
      <x:c r="B20" s="14" t="str">
        <x:f>IF(B4="","Нужно заполнить","Заполнено")</x:f>
        <x:v>Нужно заполнить</x:v>
      </x:c>
      <x:c r="C20" s="14"/>
      <x:c r="D20" s="14"/>
      <x:c r="E20" s="14"/>
      <x:c r="F20" s="14"/>
    </x:row>
    <x:row r="21">
      <x:c r="A21" s="14" t="str">
        <x:v>Решения по 78 товарам</x:v>
      </x:c>
      <x:c r="B21" s="14" t="str">
        <x:f>COUNTIF('Товары'!$F$4:$F$81,"Утвердить")&amp;" / 78"</x:f>
        <x:v>0 / 78</x:v>
      </x:c>
      <x:c r="C21" s="14"/>
      <x:c r="D21" s="14"/>
      <x:c r="E21" s="14"/>
      <x:c r="F21" s="14"/>
    </x:row>
    <x:row r="22">
      <x:c r="A22" s="14" t="str">
        <x:v>Заполнены штрихкоды</x:v>
      </x:c>
      <x:c r="B22" s="14" t="str">
        <x:f>(78-COUNTBLANK('Товары'!$D$4:$D$81))&amp;" / 78"</x:f>
        <x:v>0 / 78</x:v>
      </x:c>
      <x:c r="C22" s="14"/>
      <x:c r="D22" s="14"/>
      <x:c r="E22" s="14"/>
      <x:c r="F22" s="14"/>
    </x:row>
    <x:row r="23">
      <x:c r="A23" s="14" t="str">
        <x:v>Назначены основные цехи</x:v>
      </x:c>
      <x:c r="B23" s="14" t="str">
        <x:f>(78-COUNTBLANK('Товары'!$E$4:$E$81))&amp;" / 78"</x:f>
        <x:v>0 / 78</x:v>
      </x:c>
      <x:c r="C23" s="14"/>
      <x:c r="D23" s="14"/>
      <x:c r="E23" s="14"/>
      <x:c r="F23" s="14"/>
    </x:row>
    <x:row r="24">
      <x:c r="A24" s="14" t="str">
        <x:v>Исправлены 7 пустых количеств</x:v>
      </x:c>
      <x:c r="B24" s="14" t="str">
        <x:f>COUNT('Пустые количества'!$G$4:$G$10)&amp;" / 7"</x:f>
        <x:v>0 / 7</x:v>
      </x:c>
      <x:c r="C24" s="14"/>
      <x:c r="D24" s="14"/>
      <x:c r="E24" s="14"/>
      <x:c r="F24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6" hidden="0" customWidth="1"/>
    <x:col min="3" max="3" width="25" hidden="0" customWidth="1"/>
    <x:col min="4" max="4" width="20" hidden="0" customWidth="1"/>
    <x:col min="5" max="5" width="20" hidden="0" customWidth="1"/>
    <x:col min="6" max="6" width="17" hidden="0" customWidth="1"/>
    <x:col min="7" max="7" width="34" hidden="0" customWidth="1"/>
  </x:cols>
  <x:sheetData>
    <x:row r="1">
      <x:c r="A1" s="19" t="str">
        <x:v>Товары для согласования · 78 позиций</x:v>
      </x:c>
      <x:c r="B1" s="19"/>
      <x:c r="C1" s="19"/>
      <x:c r="D1" s="19"/>
      <x:c r="E1" s="19"/>
      <x:c r="F1" s="19"/>
      <x:c r="G1" s="19"/>
    </x:row>
    <x:row r="2">
      <x:c r="A2" s="14"/>
      <x:c r="B2" s="14"/>
      <x:c r="C2" s="14"/>
      <x:c r="D2" s="14"/>
      <x:c r="E2" s="14"/>
      <x:c r="F2" s="14"/>
      <x:c r="G2" s="14"/>
    </x:row>
    <x:row r="3">
      <x:c r="A3" s="15" t="str">
        <x:v>Код товара</x:v>
      </x:c>
      <x:c r="B3" s="15" t="str">
        <x:v>Исходное наименование</x:v>
      </x:c>
      <x:c r="C3" s="15" t="str">
        <x:v>Предлагаемая категория</x:v>
      </x:c>
      <x:c r="D3" s="15" t="str">
        <x:v>Штрихкод</x:v>
      </x:c>
      <x:c r="E3" s="15" t="str">
        <x:v>Основной цех</x:v>
      </x:c>
      <x:c r="F3" s="15" t="str">
        <x:v>Решение</x:v>
      </x:c>
      <x:c r="G3" s="15" t="str">
        <x:v>Комментарий / исправление</x:v>
      </x:c>
    </x:row>
    <x:row r="4">
      <x:c r="A4" s="14" t="str">
        <x:v>TKF-00001</x:v>
      </x:c>
      <x:c r="B4" s="14" t="str">
        <x:v>ТБ Апельсиновый (0,9кг)</x:v>
      </x:c>
      <x:c r="C4" s="17" t="str">
        <x:v>Торты базовые</x:v>
      </x:c>
      <x:c r="D4" s="17"/>
      <x:c r="E4" s="17"/>
      <x:c r="F4" s="17"/>
      <x:c r="G4" s="17"/>
    </x:row>
    <x:row r="5">
      <x:c r="A5" s="14" t="str">
        <x:v>TKF-00002</x:v>
      </x:c>
      <x:c r="B5" s="14" t="str">
        <x:v>ТБ Баунти (0,65кг)</x:v>
      </x:c>
      <x:c r="C5" s="17" t="str">
        <x:v>Торты базовые</x:v>
      </x:c>
      <x:c r="D5" s="17"/>
      <x:c r="E5" s="17"/>
      <x:c r="F5" s="17"/>
      <x:c r="G5" s="17"/>
    </x:row>
    <x:row r="6">
      <x:c r="A6" s="14" t="str">
        <x:v>TKF-00003</x:v>
      </x:c>
      <x:c r="B6" s="14" t="str">
        <x:v>ТБ Десерт Лимонный (0,5кг)</x:v>
      </x:c>
      <x:c r="C6" s="17" t="str">
        <x:v>Торты базовые</x:v>
      </x:c>
      <x:c r="D6" s="17"/>
      <x:c r="E6" s="17"/>
      <x:c r="F6" s="17"/>
      <x:c r="G6" s="17"/>
    </x:row>
    <x:row r="7">
      <x:c r="A7" s="14" t="str">
        <x:v>TKF-00004</x:v>
      </x:c>
      <x:c r="B7" s="14" t="str">
        <x:v>ТБ Десерт Шоколадный (0,5кг)</x:v>
      </x:c>
      <x:c r="C7" s="17" t="str">
        <x:v>Торты базовые</x:v>
      </x:c>
      <x:c r="D7" s="17"/>
      <x:c r="E7" s="17"/>
      <x:c r="F7" s="17"/>
      <x:c r="G7" s="17"/>
    </x:row>
    <x:row r="8">
      <x:c r="A8" s="14" t="str">
        <x:v>TKF-00005</x:v>
      </x:c>
      <x:c r="B8" s="14" t="str">
        <x:v>ТБ Каприз (0,75кг)</x:v>
      </x:c>
      <x:c r="C8" s="17" t="str">
        <x:v>Торты базовые</x:v>
      </x:c>
      <x:c r="D8" s="17"/>
      <x:c r="E8" s="17"/>
      <x:c r="F8" s="17"/>
      <x:c r="G8" s="17"/>
    </x:row>
    <x:row r="9">
      <x:c r="A9" s="14" t="str">
        <x:v>TKF-00006</x:v>
      </x:c>
      <x:c r="B9" s="14" t="str">
        <x:v>ТБ Карамельный крем брюле (1кг)</x:v>
      </x:c>
      <x:c r="C9" s="17" t="str">
        <x:v>Торты базовые</x:v>
      </x:c>
      <x:c r="D9" s="17"/>
      <x:c r="E9" s="17"/>
      <x:c r="F9" s="17"/>
      <x:c r="G9" s="17"/>
    </x:row>
    <x:row r="10">
      <x:c r="A10" s="14" t="str">
        <x:v>TKF-00007</x:v>
      </x:c>
      <x:c r="B10" s="14" t="str">
        <x:v>ТБ Лимонный (1кг)</x:v>
      </x:c>
      <x:c r="C10" s="17" t="str">
        <x:v>Торты базовые</x:v>
      </x:c>
      <x:c r="D10" s="17"/>
      <x:c r="E10" s="17"/>
      <x:c r="F10" s="17"/>
      <x:c r="G10" s="17"/>
    </x:row>
    <x:row r="11">
      <x:c r="A11" s="14" t="str">
        <x:v>TKF-00008</x:v>
      </x:c>
      <x:c r="B11" s="14" t="str">
        <x:v>ТБ Медовик Ванильный (1кг)</x:v>
      </x:c>
      <x:c r="C11" s="17" t="str">
        <x:v>Торты базовые</x:v>
      </x:c>
      <x:c r="D11" s="17"/>
      <x:c r="E11" s="17"/>
      <x:c r="F11" s="17"/>
      <x:c r="G11" s="17"/>
    </x:row>
    <x:row r="12">
      <x:c r="A12" s="14" t="str">
        <x:v>TKF-00009</x:v>
      </x:c>
      <x:c r="B12" s="14" t="str">
        <x:v>ТБ Медовик Испанский (1кг)</x:v>
      </x:c>
      <x:c r="C12" s="17" t="str">
        <x:v>Торты базовые</x:v>
      </x:c>
      <x:c r="D12" s="17"/>
      <x:c r="E12" s="17"/>
      <x:c r="F12" s="17"/>
      <x:c r="G12" s="17"/>
    </x:row>
    <x:row r="13">
      <x:c r="A13" s="14" t="str">
        <x:v>TKF-00010</x:v>
      </x:c>
      <x:c r="B13" s="14" t="str">
        <x:v>ТБ Медовик Шоколадный</x:v>
      </x:c>
      <x:c r="C13" s="17" t="str">
        <x:v>Торты базовые</x:v>
      </x:c>
      <x:c r="D13" s="17"/>
      <x:c r="E13" s="17"/>
      <x:c r="F13" s="17"/>
      <x:c r="G13" s="17"/>
    </x:row>
    <x:row r="14">
      <x:c r="A14" s="14" t="str">
        <x:v>TKF-00011</x:v>
      </x:c>
      <x:c r="B14" s="14" t="str">
        <x:v>ТБ Наполеон (0,8кг)</x:v>
      </x:c>
      <x:c r="C14" s="17" t="str">
        <x:v>Торты базовые</x:v>
      </x:c>
      <x:c r="D14" s="17"/>
      <x:c r="E14" s="17"/>
      <x:c r="F14" s="17"/>
      <x:c r="G14" s="17"/>
    </x:row>
    <x:row r="15">
      <x:c r="A15" s="14" t="str">
        <x:v>TKF-00012</x:v>
      </x:c>
      <x:c r="B15" s="14" t="str">
        <x:v>ТБ Наполеон Круглый (0,8 кг)</x:v>
      </x:c>
      <x:c r="C15" s="17" t="str">
        <x:v>Торты базовые</x:v>
      </x:c>
      <x:c r="D15" s="17"/>
      <x:c r="E15" s="17"/>
      <x:c r="F15" s="17"/>
      <x:c r="G15" s="17"/>
    </x:row>
    <x:row r="16">
      <x:c r="A16" s="14" t="str">
        <x:v>TKF-00013</x:v>
      </x:c>
      <x:c r="B16" s="14" t="str">
        <x:v>ТБ Ореховый с вареной сгущенкой (1кг)</x:v>
      </x:c>
      <x:c r="C16" s="17" t="str">
        <x:v>Торты базовые</x:v>
      </x:c>
      <x:c r="D16" s="17"/>
      <x:c r="E16" s="17"/>
      <x:c r="F16" s="17"/>
      <x:c r="G16" s="17"/>
    </x:row>
    <x:row r="17">
      <x:c r="A17" s="14" t="str">
        <x:v>TKF-00014</x:v>
      </x:c>
      <x:c r="B17" s="14" t="str">
        <x:v>ТБ Панчо (1,2кг)</x:v>
      </x:c>
      <x:c r="C17" s="17" t="str">
        <x:v>Торты базовые</x:v>
      </x:c>
      <x:c r="D17" s="17"/>
      <x:c r="E17" s="17"/>
      <x:c r="F17" s="17"/>
      <x:c r="G17" s="17"/>
    </x:row>
    <x:row r="18">
      <x:c r="A18" s="14" t="str">
        <x:v>TKF-00015</x:v>
      </x:c>
      <x:c r="B18" s="14" t="str">
        <x:v>ТБ Персиковый (1кг)</x:v>
      </x:c>
      <x:c r="C18" s="17" t="str">
        <x:v>Торты базовые</x:v>
      </x:c>
      <x:c r="D18" s="17"/>
      <x:c r="E18" s="17"/>
      <x:c r="F18" s="17"/>
      <x:c r="G18" s="17"/>
    </x:row>
    <x:row r="19">
      <x:c r="A19" s="14" t="str">
        <x:v>TKF-00016</x:v>
      </x:c>
      <x:c r="B19" s="14" t="str">
        <x:v>ТБ Пинчер (0,6 кг)</x:v>
      </x:c>
      <x:c r="C19" s="17" t="str">
        <x:v>Торты базовые</x:v>
      </x:c>
      <x:c r="D19" s="17"/>
      <x:c r="E19" s="17"/>
      <x:c r="F19" s="17"/>
      <x:c r="G19" s="17"/>
    </x:row>
    <x:row r="20">
      <x:c r="A20" s="14" t="str">
        <x:v>TKF-00017</x:v>
      </x:c>
      <x:c r="B20" s="14" t="str">
        <x:v>ТБ Пинчер Шоколадный (0,65 кг)</x:v>
      </x:c>
      <x:c r="C20" s="17" t="str">
        <x:v>Торты базовые</x:v>
      </x:c>
      <x:c r="D20" s="17"/>
      <x:c r="E20" s="17"/>
      <x:c r="F20" s="17"/>
      <x:c r="G20" s="17"/>
    </x:row>
    <x:row r="21">
      <x:c r="A21" s="14" t="str">
        <x:v>TKF-00018</x:v>
      </x:c>
      <x:c r="B21" s="14" t="str">
        <x:v>ТБ Рыжик (0,8кг)</x:v>
      </x:c>
      <x:c r="C21" s="17" t="str">
        <x:v>Торты базовые</x:v>
      </x:c>
      <x:c r="D21" s="17"/>
      <x:c r="E21" s="17"/>
      <x:c r="F21" s="17"/>
      <x:c r="G21" s="17"/>
    </x:row>
    <x:row r="22">
      <x:c r="A22" s="14" t="str">
        <x:v>TKF-00019</x:v>
      </x:c>
      <x:c r="B22" s="14" t="str">
        <x:v>ТБ Сметанник (0,7кг)</x:v>
      </x:c>
      <x:c r="C22" s="17" t="str">
        <x:v>Торты базовые</x:v>
      </x:c>
      <x:c r="D22" s="17"/>
      <x:c r="E22" s="17"/>
      <x:c r="F22" s="17"/>
      <x:c r="G22" s="17"/>
    </x:row>
    <x:row r="23">
      <x:c r="A23" s="14" t="str">
        <x:v>TKF-00020</x:v>
      </x:c>
      <x:c r="B23" s="14" t="str">
        <x:v>ТБ Сникерс карамельная фантазия (0,7 кг)</x:v>
      </x:c>
      <x:c r="C23" s="17" t="str">
        <x:v>Торты базовые</x:v>
      </x:c>
      <x:c r="D23" s="17"/>
      <x:c r="E23" s="17"/>
      <x:c r="F23" s="17"/>
      <x:c r="G23" s="17"/>
    </x:row>
    <x:row r="24">
      <x:c r="A24" s="14" t="str">
        <x:v>TKF-00021</x:v>
      </x:c>
      <x:c r="B24" s="14" t="str">
        <x:v>ТБ Шок (0,9кг)</x:v>
      </x:c>
      <x:c r="C24" s="17" t="str">
        <x:v>Торты базовые</x:v>
      </x:c>
      <x:c r="D24" s="17"/>
      <x:c r="E24" s="17"/>
      <x:c r="F24" s="17"/>
      <x:c r="G24" s="17"/>
    </x:row>
    <x:row r="25">
      <x:c r="A25" s="14" t="str">
        <x:v>TKF-00022</x:v>
      </x:c>
      <x:c r="B25" s="14" t="str">
        <x:v>ТБ Шок Новый (0,9кг)</x:v>
      </x:c>
      <x:c r="C25" s="17" t="str">
        <x:v>Торты базовые</x:v>
      </x:c>
      <x:c r="D25" s="17"/>
      <x:c r="E25" s="17"/>
      <x:c r="F25" s="17"/>
      <x:c r="G25" s="17"/>
    </x:row>
    <x:row r="26">
      <x:c r="A26" s="14" t="str">
        <x:v>TKF-00023</x:v>
      </x:c>
      <x:c r="B26" s="14" t="str">
        <x:v>ТП Банан в шоколаде (1кг)</x:v>
      </x:c>
      <x:c r="C26" s="17" t="str">
        <x:v>Торты премиум</x:v>
      </x:c>
      <x:c r="D26" s="17"/>
      <x:c r="E26" s="17"/>
      <x:c r="F26" s="17"/>
      <x:c r="G26" s="17"/>
    </x:row>
    <x:row r="27">
      <x:c r="A27" s="14" t="str">
        <x:v>TKF-00024</x:v>
      </x:c>
      <x:c r="B27" s="14" t="str">
        <x:v>ТП Вишня (1кг)</x:v>
      </x:c>
      <x:c r="C27" s="17" t="str">
        <x:v>Торты премиум</x:v>
      </x:c>
      <x:c r="D27" s="17"/>
      <x:c r="E27" s="17"/>
      <x:c r="F27" s="17"/>
      <x:c r="G27" s="17"/>
    </x:row>
    <x:row r="28">
      <x:c r="A28" s="14" t="str">
        <x:v>TKF-00025</x:v>
      </x:c>
      <x:c r="B28" s="14" t="str">
        <x:v>ТП Графские развалины (0,8кг)</x:v>
      </x:c>
      <x:c r="C28" s="17" t="str">
        <x:v>Торты премиум</x:v>
      </x:c>
      <x:c r="D28" s="17"/>
      <x:c r="E28" s="17"/>
      <x:c r="F28" s="17"/>
      <x:c r="G28" s="17"/>
    </x:row>
    <x:row r="29">
      <x:c r="A29" s="14" t="str">
        <x:v>TKF-00026</x:v>
      </x:c>
      <x:c r="B29" s="14" t="str">
        <x:v>ТП Золотой ключик (1кг)</x:v>
      </x:c>
      <x:c r="C29" s="17" t="str">
        <x:v>Торты премиум</x:v>
      </x:c>
      <x:c r="D29" s="17"/>
      <x:c r="E29" s="17"/>
      <x:c r="F29" s="17"/>
      <x:c r="G29" s="17"/>
    </x:row>
    <x:row r="30">
      <x:c r="A30" s="14" t="str">
        <x:v>TKF-00027</x:v>
      </x:c>
      <x:c r="B30" s="14" t="str">
        <x:v>ТП Золотой ключик (2кг)</x:v>
      </x:c>
      <x:c r="C30" s="17" t="str">
        <x:v>Торты премиум</x:v>
      </x:c>
      <x:c r="D30" s="17"/>
      <x:c r="E30" s="17"/>
      <x:c r="F30" s="17"/>
      <x:c r="G30" s="17"/>
    </x:row>
    <x:row r="31">
      <x:c r="A31" s="14" t="str">
        <x:v>TKF-00028</x:v>
      </x:c>
      <x:c r="B31" s="14" t="str">
        <x:v>ТП Изюминка (1,1кг)</x:v>
      </x:c>
      <x:c r="C31" s="17" t="str">
        <x:v>Торты премиум</x:v>
      </x:c>
      <x:c r="D31" s="17"/>
      <x:c r="E31" s="17"/>
      <x:c r="F31" s="17"/>
      <x:c r="G31" s="17"/>
    </x:row>
    <x:row r="32">
      <x:c r="A32" s="14" t="str">
        <x:v>TKF-00029</x:v>
      </x:c>
      <x:c r="B32" s="14" t="str">
        <x:v>ТП Киевский (1кг)</x:v>
      </x:c>
      <x:c r="C32" s="17" t="str">
        <x:v>Торты премиум</x:v>
      </x:c>
      <x:c r="D32" s="17"/>
      <x:c r="E32" s="17"/>
      <x:c r="F32" s="17"/>
      <x:c r="G32" s="17"/>
    </x:row>
    <x:row r="33">
      <x:c r="A33" s="14" t="str">
        <x:v>TKF-00030</x:v>
      </x:c>
      <x:c r="B33" s="14" t="str">
        <x:v>ТП Киевский Безе (1,1кг)</x:v>
      </x:c>
      <x:c r="C33" s="17" t="str">
        <x:v>Торты премиум</x:v>
      </x:c>
      <x:c r="D33" s="17"/>
      <x:c r="E33" s="17"/>
      <x:c r="F33" s="17"/>
      <x:c r="G33" s="17"/>
    </x:row>
    <x:row r="34">
      <x:c r="A34" s="14" t="str">
        <x:v>TKF-00031</x:v>
      </x:c>
      <x:c r="B34" s="14" t="str">
        <x:v>ТП Ласточка (1кг)</x:v>
      </x:c>
      <x:c r="C34" s="17" t="str">
        <x:v>Торты премиум</x:v>
      </x:c>
      <x:c r="D34" s="17"/>
      <x:c r="E34" s="17"/>
      <x:c r="F34" s="17"/>
      <x:c r="G34" s="17"/>
    </x:row>
    <x:row r="35">
      <x:c r="A35" s="14" t="str">
        <x:v>TKF-00032</x:v>
      </x:c>
      <x:c r="B35" s="14" t="str">
        <x:v>ТП Марс (1кг)</x:v>
      </x:c>
      <x:c r="C35" s="17" t="str">
        <x:v>Торты премиум</x:v>
      </x:c>
      <x:c r="D35" s="17"/>
      <x:c r="E35" s="17"/>
      <x:c r="F35" s="17"/>
      <x:c r="G35" s="17"/>
    </x:row>
    <x:row r="36">
      <x:c r="A36" s="14" t="str">
        <x:v>TKF-00033</x:v>
      </x:c>
      <x:c r="B36" s="14" t="str">
        <x:v>ТП Милкивей (1кг)</x:v>
      </x:c>
      <x:c r="C36" s="17" t="str">
        <x:v>Торты премиум</x:v>
      </x:c>
      <x:c r="D36" s="17"/>
      <x:c r="E36" s="17"/>
      <x:c r="F36" s="17"/>
      <x:c r="G36" s="17"/>
    </x:row>
    <x:row r="37">
      <x:c r="A37" s="14" t="str">
        <x:v>TKF-00034</x:v>
      </x:c>
      <x:c r="B37" s="14" t="str">
        <x:v>ТП Муравейник (1кг)</x:v>
      </x:c>
      <x:c r="C37" s="17" t="str">
        <x:v>Торты премиум</x:v>
      </x:c>
      <x:c r="D37" s="17"/>
      <x:c r="E37" s="17"/>
      <x:c r="F37" s="17"/>
      <x:c r="G37" s="17"/>
    </x:row>
    <x:row r="38">
      <x:c r="A38" s="14" t="str">
        <x:v>TKF-00035</x:v>
      </x:c>
      <x:c r="B38" s="14" t="str">
        <x:v>ТП Ореховый (1кг)</x:v>
      </x:c>
      <x:c r="C38" s="17" t="str">
        <x:v>Торты премиум</x:v>
      </x:c>
      <x:c r="D38" s="17"/>
      <x:c r="E38" s="17"/>
      <x:c r="F38" s="17"/>
      <x:c r="G38" s="17"/>
    </x:row>
    <x:row r="39">
      <x:c r="A39" s="14" t="str">
        <x:v>TKF-00036</x:v>
      </x:c>
      <x:c r="B39" s="14" t="str">
        <x:v>ТП Ферреро Роше (0,5кг)</x:v>
      </x:c>
      <x:c r="C39" s="17" t="str">
        <x:v>Торты премиум</x:v>
      </x:c>
      <x:c r="D39" s="17"/>
      <x:c r="E39" s="17"/>
      <x:c r="F39" s="17"/>
      <x:c r="G39" s="17"/>
    </x:row>
    <x:row r="40">
      <x:c r="A40" s="14" t="str">
        <x:v>TKF-00037</x:v>
      </x:c>
      <x:c r="B40" s="14" t="str">
        <x:v>ТП Фундук и шоколад (1кг)</x:v>
      </x:c>
      <x:c r="C40" s="17" t="str">
        <x:v>Торты премиум</x:v>
      </x:c>
      <x:c r="D40" s="17"/>
      <x:c r="E40" s="17"/>
      <x:c r="F40" s="17"/>
      <x:c r="G40" s="17"/>
    </x:row>
    <x:row r="41">
      <x:c r="A41" s="14" t="str">
        <x:v>TKF-00038</x:v>
      </x:c>
      <x:c r="B41" s="14" t="str">
        <x:v>Пирог Песочный с Абрикосовым Джемом (0,7кг)</x:v>
      </x:c>
      <x:c r="C41" s="17" t="str">
        <x:v>Пироги</x:v>
      </x:c>
      <x:c r="D41" s="17"/>
      <x:c r="E41" s="17"/>
      <x:c r="F41" s="17"/>
      <x:c r="G41" s="17"/>
    </x:row>
    <x:row r="42">
      <x:c r="A42" s="14" t="str">
        <x:v>TKF-00039</x:v>
      </x:c>
      <x:c r="B42" s="14" t="str">
        <x:v>Пирог Песочный с Вишневым Джемом (0,7кг)</x:v>
      </x:c>
      <x:c r="C42" s="17" t="str">
        <x:v>Пироги</x:v>
      </x:c>
      <x:c r="D42" s="17"/>
      <x:c r="E42" s="17"/>
      <x:c r="F42" s="17"/>
      <x:c r="G42" s="17"/>
    </x:row>
    <x:row r="43">
      <x:c r="A43" s="14" t="str">
        <x:v>TKF-00040</x:v>
      </x:c>
      <x:c r="B43" s="14" t="str">
        <x:v>Пирог Песочный с Клубничным Джемом (0,7кг)</x:v>
      </x:c>
      <x:c r="C43" s="17" t="str">
        <x:v>Пироги</x:v>
      </x:c>
      <x:c r="D43" s="17"/>
      <x:c r="E43" s="17"/>
      <x:c r="F43" s="17"/>
      <x:c r="G43" s="17"/>
    </x:row>
    <x:row r="44">
      <x:c r="A44" s="14" t="str">
        <x:v>TKF-00041</x:v>
      </x:c>
      <x:c r="B44" s="14" t="str">
        <x:v>Пирог Песочный с Черничным Джемом (0,7кг)</x:v>
      </x:c>
      <x:c r="C44" s="17" t="str">
        <x:v>Пироги</x:v>
      </x:c>
      <x:c r="D44" s="17"/>
      <x:c r="E44" s="17"/>
      <x:c r="F44" s="17"/>
      <x:c r="G44" s="17"/>
    </x:row>
    <x:row r="45">
      <x:c r="A45" s="14" t="str">
        <x:v>TKF-00042</x:v>
      </x:c>
      <x:c r="B45" s="14" t="str">
        <x:v>Пирог Карамельный</x:v>
      </x:c>
      <x:c r="C45" s="17" t="str">
        <x:v>Пироги</x:v>
      </x:c>
      <x:c r="D45" s="17"/>
      <x:c r="E45" s="17"/>
      <x:c r="F45" s="17"/>
      <x:c r="G45" s="17"/>
    </x:row>
    <x:row r="46">
      <x:c r="A46" s="14" t="str">
        <x:v>TKF-00043</x:v>
      </x:c>
      <x:c r="B46" s="14" t="str">
        <x:v>Пирожное Заварные (0,4кг)</x:v>
      </x:c>
      <x:c r="C46" s="17" t="str">
        <x:v>Пироги</x:v>
      </x:c>
      <x:c r="D46" s="17"/>
      <x:c r="E46" s="17"/>
      <x:c r="F46" s="17"/>
      <x:c r="G46" s="17"/>
    </x:row>
    <x:row r="47">
      <x:c r="A47" s="14" t="str">
        <x:v>TKF-00044</x:v>
      </x:c>
      <x:c r="B47" s="14" t="str">
        <x:v>Пирожное Заварные (0,7кг)</x:v>
      </x:c>
      <x:c r="C47" s="17" t="str">
        <x:v>Пироги</x:v>
      </x:c>
      <x:c r="D47" s="17"/>
      <x:c r="E47" s="17"/>
      <x:c r="F47" s="17"/>
      <x:c r="G47" s="17"/>
    </x:row>
    <x:row r="48">
      <x:c r="A48" s="14" t="str">
        <x:v>TKF-00045</x:v>
      </x:c>
      <x:c r="B48" s="14" t="str">
        <x:v>Пирожное Картошка (0,9кг)</x:v>
      </x:c>
      <x:c r="C48" s="17" t="str">
        <x:v>Пироги</x:v>
      </x:c>
      <x:c r="D48" s="17"/>
      <x:c r="E48" s="17"/>
      <x:c r="F48" s="17"/>
      <x:c r="G48" s="17"/>
    </x:row>
    <x:row r="49">
      <x:c r="A49" s="14" t="str">
        <x:v>TKF-00046</x:v>
      </x:c>
      <x:c r="B49" s="14" t="str">
        <x:v>Пирожное Картошка Шоколадная (0,55кг)</x:v>
      </x:c>
      <x:c r="C49" s="17" t="str">
        <x:v>Пироги</x:v>
      </x:c>
      <x:c r="D49" s="17"/>
      <x:c r="E49" s="17"/>
      <x:c r="F49" s="17"/>
      <x:c r="G49" s="17"/>
    </x:row>
    <x:row r="50">
      <x:c r="A50" s="14" t="str">
        <x:v>TKF-00047</x:v>
      </x:c>
      <x:c r="B50" s="14" t="str">
        <x:v>Пирожное Медовик (0,8кг)</x:v>
      </x:c>
      <x:c r="C50" s="17" t="str">
        <x:v>Пироги</x:v>
      </x:c>
      <x:c r="D50" s="17"/>
      <x:c r="E50" s="17"/>
      <x:c r="F50" s="17"/>
      <x:c r="G50" s="17"/>
    </x:row>
    <x:row r="51">
      <x:c r="A51" s="14" t="str">
        <x:v>TKF-00048</x:v>
      </x:c>
      <x:c r="B51" s="14" t="str">
        <x:v>Штрудель Яблочный (0,39кг)</x:v>
      </x:c>
      <x:c r="C51" s="17" t="str">
        <x:v>Прочее</x:v>
      </x:c>
      <x:c r="D51" s="17"/>
      <x:c r="E51" s="17"/>
      <x:c r="F51" s="17"/>
      <x:c r="G51" s="17"/>
    </x:row>
    <x:row r="52">
      <x:c r="A52" s="14" t="str">
        <x:v>TKF-00049</x:v>
      </x:c>
      <x:c r="B52" s="14" t="str">
        <x:v>Штрудель Вишневый (0,39кг)</x:v>
      </x:c>
      <x:c r="C52" s="17" t="str">
        <x:v>Прочее</x:v>
      </x:c>
      <x:c r="D52" s="17"/>
      <x:c r="E52" s="17"/>
      <x:c r="F52" s="17"/>
      <x:c r="G52" s="17"/>
    </x:row>
    <x:row r="53">
      <x:c r="A53" s="14" t="str">
        <x:v>TKF-00050</x:v>
      </x:c>
      <x:c r="B53" s="14" t="str">
        <x:v>СВ Рогалики с ореховой начинкой (0,25кг)</x:v>
      </x:c>
      <x:c r="C53" s="17" t="str">
        <x:v>Прочее</x:v>
      </x:c>
      <x:c r="D53" s="17"/>
      <x:c r="E53" s="17"/>
      <x:c r="F53" s="17"/>
      <x:c r="G53" s="17"/>
    </x:row>
    <x:row r="54">
      <x:c r="A54" s="14" t="str">
        <x:v>TKF-00051</x:v>
      </x:c>
      <x:c r="B54" s="14" t="str">
        <x:v>СВ Апельсинка</x:v>
      </x:c>
      <x:c r="C54" s="17" t="str">
        <x:v>Сухая выпечка</x:v>
      </x:c>
      <x:c r="D54" s="17"/>
      <x:c r="E54" s="17"/>
      <x:c r="F54" s="17"/>
      <x:c r="G54" s="17"/>
    </x:row>
    <x:row r="55">
      <x:c r="A55" s="14" t="str">
        <x:v>TKF-00052</x:v>
      </x:c>
      <x:c r="B55" s="14" t="str">
        <x:v>СВ Атлант</x:v>
      </x:c>
      <x:c r="C55" s="17" t="str">
        <x:v>Сухая выпечка</x:v>
      </x:c>
      <x:c r="D55" s="17"/>
      <x:c r="E55" s="17"/>
      <x:c r="F55" s="17"/>
      <x:c r="G55" s="17"/>
    </x:row>
    <x:row r="56">
      <x:c r="A56" s="14" t="str">
        <x:v>TKF-00053</x:v>
      </x:c>
      <x:c r="B56" s="14" t="str">
        <x:v>СВ Бакусы</x:v>
      </x:c>
      <x:c r="C56" s="17" t="str">
        <x:v>Сухая выпечка</x:v>
      </x:c>
      <x:c r="D56" s="17"/>
      <x:c r="E56" s="17"/>
      <x:c r="F56" s="17"/>
      <x:c r="G56" s="17"/>
    </x:row>
    <x:row r="57">
      <x:c r="A57" s="14" t="str">
        <x:v>TKF-00054</x:v>
      </x:c>
      <x:c r="B57" s="14" t="str">
        <x:v>СВ Винтажное</x:v>
      </x:c>
      <x:c r="C57" s="17" t="str">
        <x:v>Сухая выпечка</x:v>
      </x:c>
      <x:c r="D57" s="17"/>
      <x:c r="E57" s="17"/>
      <x:c r="F57" s="17"/>
      <x:c r="G57" s="17"/>
    </x:row>
    <x:row r="58">
      <x:c r="A58" s="14" t="str">
        <x:v>TKF-00055</x:v>
      </x:c>
      <x:c r="B58" s="14" t="str">
        <x:v>СВ Воронежское</x:v>
      </x:c>
      <x:c r="C58" s="17" t="str">
        <x:v>Сухая выпечка</x:v>
      </x:c>
      <x:c r="D58" s="17"/>
      <x:c r="E58" s="17"/>
      <x:c r="F58" s="17"/>
      <x:c r="G58" s="17"/>
    </x:row>
    <x:row r="59">
      <x:c r="A59" s="14" t="str">
        <x:v>TKF-00056</x:v>
      </x:c>
      <x:c r="B59" s="14" t="str">
        <x:v>СВ Генриетта</x:v>
      </x:c>
      <x:c r="C59" s="17" t="str">
        <x:v>Сухая выпечка</x:v>
      </x:c>
      <x:c r="D59" s="17"/>
      <x:c r="E59" s="17"/>
      <x:c r="F59" s="17"/>
      <x:c r="G59" s="17"/>
    </x:row>
    <x:row r="60">
      <x:c r="A60" s="14" t="str">
        <x:v>TKF-00057</x:v>
      </x:c>
      <x:c r="B60" s="14" t="str">
        <x:v>СВ Зерновое</x:v>
      </x:c>
      <x:c r="C60" s="17" t="str">
        <x:v>Сухая выпечка</x:v>
      </x:c>
      <x:c r="D60" s="17"/>
      <x:c r="E60" s="17"/>
      <x:c r="F60" s="17"/>
      <x:c r="G60" s="17"/>
    </x:row>
    <x:row r="61">
      <x:c r="A61" s="14" t="str">
        <x:v>TKF-00058</x:v>
      </x:c>
      <x:c r="B61" s="14" t="str">
        <x:v>СВ Имбирное</x:v>
      </x:c>
      <x:c r="C61" s="17" t="str">
        <x:v>Сухая выпечка</x:v>
      </x:c>
      <x:c r="D61" s="17"/>
      <x:c r="E61" s="17"/>
      <x:c r="F61" s="17"/>
      <x:c r="G61" s="17"/>
    </x:row>
    <x:row r="62">
      <x:c r="A62" s="14" t="str">
        <x:v>TKF-00059</x:v>
      </x:c>
      <x:c r="B62" s="14" t="str">
        <x:v>СВ Йогуртовое</x:v>
      </x:c>
      <x:c r="C62" s="17" t="str">
        <x:v>Сухая выпечка</x:v>
      </x:c>
      <x:c r="D62" s="17"/>
      <x:c r="E62" s="17"/>
      <x:c r="F62" s="17"/>
      <x:c r="G62" s="17"/>
    </x:row>
    <x:row r="63">
      <x:c r="A63" s="14" t="str">
        <x:v>TKF-00060</x:v>
      </x:c>
      <x:c r="B63" s="14" t="str">
        <x:v>СВ Красный бархат</x:v>
      </x:c>
      <x:c r="C63" s="17" t="str">
        <x:v>Сухая выпечка</x:v>
      </x:c>
      <x:c r="D63" s="17"/>
      <x:c r="E63" s="17"/>
      <x:c r="F63" s="17"/>
      <x:c r="G63" s="17"/>
    </x:row>
    <x:row r="64">
      <x:c r="A64" s="14" t="str">
        <x:v>TKF-00061</x:v>
      </x:c>
      <x:c r="B64" s="14" t="str">
        <x:v>СВ Кукурузное</x:v>
      </x:c>
      <x:c r="C64" s="17" t="str">
        <x:v>Сухая выпечка</x:v>
      </x:c>
      <x:c r="D64" s="17"/>
      <x:c r="E64" s="17"/>
      <x:c r="F64" s="17"/>
      <x:c r="G64" s="17"/>
    </x:row>
    <x:row r="65">
      <x:c r="A65" s="14" t="str">
        <x:v>TKF-00062</x:v>
      </x:c>
      <x:c r="B65" s="14" t="str">
        <x:v>СВ Курабье</x:v>
      </x:c>
      <x:c r="C65" s="17" t="str">
        <x:v>Сухая выпечка</x:v>
      </x:c>
      <x:c r="D65" s="17"/>
      <x:c r="E65" s="17"/>
      <x:c r="F65" s="17"/>
      <x:c r="G65" s="17"/>
    </x:row>
    <x:row r="66">
      <x:c r="A66" s="14" t="str">
        <x:v>TKF-00063</x:v>
      </x:c>
      <x:c r="B66" s="14" t="str">
        <x:v>СВ Ласточка</x:v>
      </x:c>
      <x:c r="C66" s="17" t="str">
        <x:v>Сухая выпечка</x:v>
      </x:c>
      <x:c r="D66" s="17"/>
      <x:c r="E66" s="17"/>
      <x:c r="F66" s="17"/>
      <x:c r="G66" s="17"/>
    </x:row>
    <x:row r="67">
      <x:c r="A67" s="14" t="str">
        <x:v>TKF-00064</x:v>
      </x:c>
      <x:c r="B67" s="14" t="str">
        <x:v>СВ Лимонники</x:v>
      </x:c>
      <x:c r="C67" s="17" t="str">
        <x:v>Сухая выпечка</x:v>
      </x:c>
      <x:c r="D67" s="17"/>
      <x:c r="E67" s="17"/>
      <x:c r="F67" s="17"/>
      <x:c r="G67" s="17"/>
    </x:row>
    <x:row r="68">
      <x:c r="A68" s="14" t="str">
        <x:v>TKF-00065</x:v>
      </x:c>
      <x:c r="B68" s="14" t="str">
        <x:v>СВ Маффины</x:v>
      </x:c>
      <x:c r="C68" s="17" t="str">
        <x:v>Сухая выпечка</x:v>
      </x:c>
      <x:c r="D68" s="17"/>
      <x:c r="E68" s="17"/>
      <x:c r="F68" s="17"/>
      <x:c r="G68" s="17"/>
    </x:row>
    <x:row r="69">
      <x:c r="A69" s="14" t="str">
        <x:v>TKF-00066</x:v>
      </x:c>
      <x:c r="B69" s="14" t="str">
        <x:v>СВ Медвежонок ванильный</x:v>
      </x:c>
      <x:c r="C69" s="17" t="str">
        <x:v>Сухая выпечка</x:v>
      </x:c>
      <x:c r="D69" s="17"/>
      <x:c r="E69" s="17"/>
      <x:c r="F69" s="17"/>
      <x:c r="G69" s="17"/>
    </x:row>
    <x:row r="70">
      <x:c r="A70" s="14" t="str">
        <x:v>TKF-00067</x:v>
      </x:c>
      <x:c r="B70" s="14" t="str">
        <x:v>СВ Медвежонок шоколадный</x:v>
      </x:c>
      <x:c r="C70" s="17" t="str">
        <x:v>Сухая выпечка</x:v>
      </x:c>
      <x:c r="D70" s="17"/>
      <x:c r="E70" s="17"/>
      <x:c r="F70" s="17"/>
      <x:c r="G70" s="17"/>
    </x:row>
    <x:row r="71">
      <x:c r="A71" s="14" t="str">
        <x:v>TKF-00068</x:v>
      </x:c>
      <x:c r="B71" s="14" t="str">
        <x:v>СВ Милка</x:v>
      </x:c>
      <x:c r="C71" s="17" t="str">
        <x:v>Сухая выпечка</x:v>
      </x:c>
      <x:c r="D71" s="17"/>
      <x:c r="E71" s="17"/>
      <x:c r="F71" s="17"/>
      <x:c r="G71" s="17"/>
    </x:row>
    <x:row r="72">
      <x:c r="A72" s="14" t="str">
        <x:v>TKF-00069</x:v>
      </x:c>
      <x:c r="B72" s="14" t="str">
        <x:v>СВ Милкивей</x:v>
      </x:c>
      <x:c r="C72" s="17" t="str">
        <x:v>Сухая выпечка</x:v>
      </x:c>
      <x:c r="D72" s="17"/>
      <x:c r="E72" s="17"/>
      <x:c r="F72" s="17"/>
      <x:c r="G72" s="17"/>
    </x:row>
    <x:row r="73">
      <x:c r="A73" s="14" t="str">
        <x:v>TKF-00070</x:v>
      </x:c>
      <x:c r="B73" s="14" t="str">
        <x:v>СВ Нежное</x:v>
      </x:c>
      <x:c r="C73" s="17" t="str">
        <x:v>Сухая выпечка</x:v>
      </x:c>
      <x:c r="D73" s="17"/>
      <x:c r="E73" s="17"/>
      <x:c r="F73" s="17"/>
      <x:c r="G73" s="17"/>
    </x:row>
    <x:row r="74">
      <x:c r="A74" s="14" t="str">
        <x:v>TKF-00071</x:v>
      </x:c>
      <x:c r="B74" s="14" t="str">
        <x:v>СВ Овсяное</x:v>
      </x:c>
      <x:c r="C74" s="17" t="str">
        <x:v>Сухая выпечка</x:v>
      </x:c>
      <x:c r="D74" s="17"/>
      <x:c r="E74" s="17"/>
      <x:c r="F74" s="17"/>
      <x:c r="G74" s="17"/>
    </x:row>
    <x:row r="75">
      <x:c r="A75" s="14" t="str">
        <x:v>TKF-00072</x:v>
      </x:c>
      <x:c r="B75" s="14" t="str">
        <x:v>СВ Пикант</x:v>
      </x:c>
      <x:c r="C75" s="17" t="str">
        <x:v>Сухая выпечка</x:v>
      </x:c>
      <x:c r="D75" s="17"/>
      <x:c r="E75" s="17"/>
      <x:c r="F75" s="17"/>
      <x:c r="G75" s="17"/>
    </x:row>
    <x:row r="76">
      <x:c r="A76" s="14" t="str">
        <x:v>TKF-00073</x:v>
      </x:c>
      <x:c r="B76" s="14" t="str">
        <x:v>СВ Сгущемилк</x:v>
      </x:c>
      <x:c r="C76" s="17" t="str">
        <x:v>Сухая выпечка</x:v>
      </x:c>
      <x:c r="D76" s="17"/>
      <x:c r="E76" s="17"/>
      <x:c r="F76" s="17"/>
      <x:c r="G76" s="17"/>
    </x:row>
    <x:row r="77">
      <x:c r="A77" s="14" t="str">
        <x:v>TKF-00074</x:v>
      </x:c>
      <x:c r="B77" s="14" t="str">
        <x:v>СВ Тульское</x:v>
      </x:c>
      <x:c r="C77" s="17" t="str">
        <x:v>Сухая выпечка</x:v>
      </x:c>
      <x:c r="D77" s="17"/>
      <x:c r="E77" s="17"/>
      <x:c r="F77" s="17"/>
      <x:c r="G77" s="17"/>
    </x:row>
    <x:row r="78">
      <x:c r="A78" s="14" t="str">
        <x:v>TKF-00075</x:v>
      </x:c>
      <x:c r="B78" s="14" t="str">
        <x:v>СВ Фисташковое</x:v>
      </x:c>
      <x:c r="C78" s="17" t="str">
        <x:v>Сухая выпечка</x:v>
      </x:c>
      <x:c r="D78" s="17"/>
      <x:c r="E78" s="17"/>
      <x:c r="F78" s="17"/>
      <x:c r="G78" s="17"/>
    </x:row>
    <x:row r="79">
      <x:c r="A79" s="14" t="str">
        <x:v>TKF-00076</x:v>
      </x:c>
      <x:c r="B79" s="14" t="str">
        <x:v>СВ Фитнес</x:v>
      </x:c>
      <x:c r="C79" s="17" t="str">
        <x:v>Сухая выпечка</x:v>
      </x:c>
      <x:c r="D79" s="17"/>
      <x:c r="E79" s="17"/>
      <x:c r="F79" s="17"/>
      <x:c r="G79" s="17"/>
    </x:row>
    <x:row r="80">
      <x:c r="A80" s="14" t="str">
        <x:v>TKF-00077</x:v>
      </x:c>
      <x:c r="B80" s="14" t="str">
        <x:v>СВ Шокомилк</x:v>
      </x:c>
      <x:c r="C80" s="17" t="str">
        <x:v>Сухая выпечка</x:v>
      </x:c>
      <x:c r="D80" s="17"/>
      <x:c r="E80" s="17"/>
      <x:c r="F80" s="17"/>
      <x:c r="G80" s="17"/>
    </x:row>
    <x:row r="81">
      <x:c r="A81" s="14" t="str">
        <x:v>TKF-00078</x:v>
      </x:c>
      <x:c r="B81" s="14" t="str">
        <x:v>СВ Янтарное</x:v>
      </x:c>
      <x:c r="C81" s="17" t="str">
        <x:v>Сухая выпечка</x:v>
      </x:c>
      <x:c r="D81" s="17"/>
      <x:c r="E81" s="17"/>
      <x:c r="F81" s="17"/>
      <x:c r="G81" s="17"/>
    </x:row>
  </x:sheetData>
  <x:mergeCells>
    <x:mergeCell ref="A1:G1"/>
  </x:mergeCells>
  <x:dataValidations count="2">
    <x:dataValidation type="list" sqref="C4:C81">
      <x:formula1>"Торты базовые,Торты премиум,Пироги,Прочее,Сухая выпечка"</x:formula1>
    </x:dataValidation>
    <x:dataValidation type="list" sqref="F4:F81">
      <x:formula1>"Утвердить,Исправить,Архивировать"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f7ac1a77a648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48" hidden="0" customWidth="1"/>
    <x:col min="6" max="6" width="18" hidden="0" customWidth="1"/>
    <x:col min="7" max="7" width="18" hidden="0" customWidth="1"/>
    <x:col min="8" max="8" width="34" hidden="0" customWidth="1"/>
  </x:cols>
  <x:sheetData>
    <x:row r="1">
      <x:c r="A1" s="19" t="str">
        <x:v>Семь пустых количеств · обязательно исправить</x:v>
      </x:c>
      <x:c r="B1" s="19"/>
      <x:c r="C1" s="19"/>
      <x:c r="D1" s="19"/>
      <x:c r="E1" s="19"/>
      <x:c r="F1" s="19"/>
      <x:c r="G1" s="19"/>
      <x:c r="H1" s="19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5" t="str">
        <x:v>Лист</x:v>
      </x:c>
      <x:c r="B3" s="15" t="str">
        <x:v>Строка</x:v>
      </x:c>
      <x:c r="C3" s="15" t="str">
        <x:v>Территория</x:v>
      </x:c>
      <x:c r="D3" s="15" t="str">
        <x:v>День / вариант</x:v>
      </x:c>
      <x:c r="E3" s="15" t="str">
        <x:v>Товар</x:v>
      </x:c>
      <x:c r="F3" s="15" t="str">
        <x:v>Колонки</x:v>
      </x:c>
      <x:c r="G3" s="15" t="str">
        <x:v>Верное количество</x:v>
      </x:c>
      <x:c r="H3" s="15" t="str">
        <x:v>Комментарий</x:v>
      </x:c>
    </x:row>
    <x:row r="4">
      <x:c r="A4" s="14" t="str">
        <x:v>Ср</x:v>
      </x:c>
      <x:c r="B4" s="14" t="n">
        <x:v>153</x:v>
      </x:c>
      <x:c r="C4" s="14" t="n">
        <x:v>4</x:v>
      </x:c>
      <x:c r="D4" s="14" t="str">
        <x:v>Среда</x:v>
      </x:c>
      <x:c r="E4" s="14" t="str">
        <x:v>Пирог Песочный с Клубничным Джемом (0,7кг)</x:v>
      </x:c>
      <x:c r="F4" s="14" t="str">
        <x:v>D/E</x:v>
      </x:c>
      <x:c r="G4" s="17"/>
      <x:c r="H4" s="17"/>
    </x:row>
    <x:row r="5">
      <x:c r="A5" s="14" t="str">
        <x:v>Чт</x:v>
      </x:c>
      <x:c r="B5" s="14" t="n">
        <x:v>470</x:v>
      </x:c>
      <x:c r="C5" s="14" t="n">
        <x:v>9</x:v>
      </x:c>
      <x:c r="D5" s="14" t="str">
        <x:v>Пятница (Каспийск)</x:v>
      </x:c>
      <x:c r="E5" s="14" t="str">
        <x:v>ТП Вишня (1кг)</x:v>
      </x:c>
      <x:c r="F5" s="14" t="str">
        <x:v>A/B</x:v>
      </x:c>
      <x:c r="G5" s="17"/>
      <x:c r="H5" s="17"/>
    </x:row>
    <x:row r="6">
      <x:c r="A6" s="14" t="str">
        <x:v>Чт</x:v>
      </x:c>
      <x:c r="B6" s="14" t="n">
        <x:v>473</x:v>
      </x:c>
      <x:c r="C6" s="14" t="n">
        <x:v>9</x:v>
      </x:c>
      <x:c r="D6" s="14" t="str">
        <x:v>Пятница (Каспийск)</x:v>
      </x:c>
      <x:c r="E6" s="14" t="str">
        <x:v>ТП Золотой ключик (2кг)</x:v>
      </x:c>
      <x:c r="F6" s="14" t="str">
        <x:v>A/B</x:v>
      </x:c>
      <x:c r="G6" s="17"/>
      <x:c r="H6" s="17"/>
    </x:row>
    <x:row r="7">
      <x:c r="A7" s="14" t="str">
        <x:v>Вс</x:v>
      </x:c>
      <x:c r="B7" s="14" t="n">
        <x:v>424</x:v>
      </x:c>
      <x:c r="C7" s="14" t="n">
        <x:v>9</x:v>
      </x:c>
      <x:c r="D7" s="14" t="str">
        <x:v>Воскресенье (ЧР)</x:v>
      </x:c>
      <x:c r="E7" s="14" t="str">
        <x:v>ТП Золотой ключик (2кг)</x:v>
      </x:c>
      <x:c r="F7" s="14" t="str">
        <x:v>A/B</x:v>
      </x:c>
      <x:c r="G7" s="17"/>
      <x:c r="H7" s="17"/>
    </x:row>
    <x:row r="8">
      <x:c r="A8" s="14" t="str">
        <x:v>Вс</x:v>
      </x:c>
      <x:c r="B8" s="14" t="n">
        <x:v>429</x:v>
      </x:c>
      <x:c r="C8" s="14" t="n">
        <x:v>9</x:v>
      </x:c>
      <x:c r="D8" s="14" t="str">
        <x:v>Воскресенье (ЧР)</x:v>
      </x:c>
      <x:c r="E8" s="14" t="str">
        <x:v>ТП Марс (1кг)</x:v>
      </x:c>
      <x:c r="F8" s="14" t="str">
        <x:v>A/B</x:v>
      </x:c>
      <x:c r="G8" s="17"/>
      <x:c r="H8" s="17"/>
    </x:row>
    <x:row r="9">
      <x:c r="A9" s="14" t="str">
        <x:v>Чт</x:v>
      </x:c>
      <x:c r="B9" s="14" t="n">
        <x:v>479</x:v>
      </x:c>
      <x:c r="C9" s="14" t="n">
        <x:v>9</x:v>
      </x:c>
      <x:c r="D9" s="14" t="str">
        <x:v>Пятница (Каспийск)</x:v>
      </x:c>
      <x:c r="E9" s="14" t="str">
        <x:v>ТП Милкивей (1кг)</x:v>
      </x:c>
      <x:c r="F9" s="14" t="str">
        <x:v>A/B</x:v>
      </x:c>
      <x:c r="G9" s="17"/>
      <x:c r="H9" s="17"/>
    </x:row>
    <x:row r="10">
      <x:c r="A10" s="14" t="str">
        <x:v>Вс</x:v>
      </x:c>
      <x:c r="B10" s="14" t="n">
        <x:v>430</x:v>
      </x:c>
      <x:c r="C10" s="14" t="n">
        <x:v>9</x:v>
      </x:c>
      <x:c r="D10" s="14" t="str">
        <x:v>Воскресенье (ЧР)</x:v>
      </x:c>
      <x:c r="E10" s="14" t="str">
        <x:v>ТП Милкивей (1кг)</x:v>
      </x:c>
      <x:c r="F10" s="14" t="str">
        <x:v>A/B</x:v>
      </x:c>
      <x:c r="G10" s="17"/>
      <x:c r="H10" s="17"/>
    </x:row>
  </x:sheetData>
  <x:mergeCells>
    <x:mergeCell ref="A1:H1"/>
  </x:mergeCells>
  <x:dataValidations count="1">
    <x:dataValidation type="whole" operator="between" sqref="G4:G10">
      <x:formula1>0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f0b3a62f9434d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9" t="str">
        <x:v>Контроль 55 исходных блоков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</x:row>
    <x:row r="3">
      <x:c r="A3" s="15" t="str">
        <x:v>Лист</x:v>
      </x:c>
      <x:c r="B3" s="15" t="str">
        <x:v>Строка заголовка</x:v>
      </x:c>
      <x:c r="C3" s="15" t="str">
        <x:v>Территория</x:v>
      </x:c>
      <x:c r="D3" s="15" t="str">
        <x:v>День / вариант</x:v>
      </x:c>
      <x:c r="E3" s="15" t="str">
        <x:v>Товаров</x:v>
      </x:c>
      <x:c r="F3" s="15" t="str">
        <x:v>Положительных</x:v>
      </x:c>
      <x:c r="G3" s="15" t="str">
        <x:v>Нулей</x:v>
      </x:c>
      <x:c r="H3" s="15" t="str">
        <x:v>Пустых</x:v>
      </x:c>
      <x:c r="I3" s="15" t="str">
        <x:v>Сумма известных количеств</x:v>
      </x:c>
    </x:row>
    <x:row r="4">
      <x:c r="A4" s="14" t="str">
        <x:v>Пн</x:v>
      </x:c>
      <x:c r="B4" s="14" t="n">
        <x:v>1</x:v>
      </x:c>
      <x:c r="C4" s="14" t="n">
        <x:v>1</x:v>
      </x:c>
      <x:c r="D4" s="14" t="str">
        <x:v>Понедельник</x:v>
      </x:c>
      <x:c r="E4" s="14" t="n">
        <x:v>78</x:v>
      </x:c>
      <x:c r="F4" s="14" t="n">
        <x:v>50</x:v>
      </x:c>
      <x:c r="G4" s="14" t="n">
        <x:v>28</x:v>
      </x:c>
      <x:c r="H4" s="14" t="n">
        <x:v>0</x:v>
      </x:c>
      <x:c r="I4" s="14" t="n">
        <x:v>190</x:v>
      </x:c>
    </x:row>
    <x:row r="5">
      <x:c r="A5" s="14" t="str">
        <x:v>Пн</x:v>
      </x:c>
      <x:c r="B5" s="14" t="n">
        <x:v>50</x:v>
      </x:c>
      <x:c r="C5" s="14" t="n">
        <x:v>2</x:v>
      </x:c>
      <x:c r="D5" s="14" t="str">
        <x:v>Понедельник</x:v>
      </x:c>
      <x:c r="E5" s="14" t="n">
        <x:v>78</x:v>
      </x:c>
      <x:c r="F5" s="14" t="n">
        <x:v>48</x:v>
      </x:c>
      <x:c r="G5" s="14" t="n">
        <x:v>30</x:v>
      </x:c>
      <x:c r="H5" s="14" t="n">
        <x:v>0</x:v>
      </x:c>
      <x:c r="I5" s="14" t="n">
        <x:v>290</x:v>
      </x:c>
    </x:row>
    <x:row r="6">
      <x:c r="A6" s="14" t="str">
        <x:v>Пн</x:v>
      </x:c>
      <x:c r="B6" s="14" t="n">
        <x:v>99</x:v>
      </x:c>
      <x:c r="C6" s="14" t="n">
        <x:v>3</x:v>
      </x:c>
      <x:c r="D6" s="14" t="str">
        <x:v>Понедельник</x:v>
      </x:c>
      <x:c r="E6" s="14" t="n">
        <x:v>78</x:v>
      </x:c>
      <x:c r="F6" s="14" t="n">
        <x:v>40</x:v>
      </x:c>
      <x:c r="G6" s="14" t="n">
        <x:v>38</x:v>
      </x:c>
      <x:c r="H6" s="14" t="n">
        <x:v>0</x:v>
      </x:c>
      <x:c r="I6" s="14" t="n">
        <x:v>200</x:v>
      </x:c>
    </x:row>
    <x:row r="7">
      <x:c r="A7" s="14" t="str">
        <x:v>Пн</x:v>
      </x:c>
      <x:c r="B7" s="14" t="n">
        <x:v>148</x:v>
      </x:c>
      <x:c r="C7" s="14" t="n">
        <x:v>4</x:v>
      </x:c>
      <x:c r="D7" s="14" t="str">
        <x:v>Понедельник</x:v>
      </x:c>
      <x:c r="E7" s="14" t="n">
        <x:v>78</x:v>
      </x:c>
      <x:c r="F7" s="14" t="n">
        <x:v>46</x:v>
      </x:c>
      <x:c r="G7" s="14" t="n">
        <x:v>32</x:v>
      </x:c>
      <x:c r="H7" s="14" t="n">
        <x:v>0</x:v>
      </x:c>
      <x:c r="I7" s="14" t="n">
        <x:v>214</x:v>
      </x:c>
    </x:row>
    <x:row r="8">
      <x:c r="A8" s="14" t="str">
        <x:v>Пн</x:v>
      </x:c>
      <x:c r="B8" s="14" t="n">
        <x:v>197</x:v>
      </x:c>
      <x:c r="C8" s="14" t="n">
        <x:v>5</x:v>
      </x:c>
      <x:c r="D8" s="14" t="str">
        <x:v>Понедельник</x:v>
      </x:c>
      <x:c r="E8" s="14" t="n">
        <x:v>78</x:v>
      </x:c>
      <x:c r="F8" s="14" t="n">
        <x:v>41</x:v>
      </x:c>
      <x:c r="G8" s="14" t="n">
        <x:v>37</x:v>
      </x:c>
      <x:c r="H8" s="14" t="n">
        <x:v>0</x:v>
      </x:c>
      <x:c r="I8" s="14" t="n">
        <x:v>212</x:v>
      </x:c>
    </x:row>
    <x:row r="9">
      <x:c r="A9" s="14" t="str">
        <x:v>Пн</x:v>
      </x:c>
      <x:c r="B9" s="14" t="n">
        <x:v>246</x:v>
      </x:c>
      <x:c r="C9" s="14" t="n">
        <x:v>6</x:v>
      </x:c>
      <x:c r="D9" s="14" t="str">
        <x:v>Понедельник</x:v>
      </x:c>
      <x:c r="E9" s="14" t="n">
        <x:v>78</x:v>
      </x:c>
      <x:c r="F9" s="14" t="n">
        <x:v>50</x:v>
      </x:c>
      <x:c r="G9" s="14" t="n">
        <x:v>28</x:v>
      </x:c>
      <x:c r="H9" s="14" t="n">
        <x:v>0</x:v>
      </x:c>
      <x:c r="I9" s="14" t="n">
        <x:v>232</x:v>
      </x:c>
    </x:row>
    <x:row r="10">
      <x:c r="A10" s="14" t="str">
        <x:v>Пн</x:v>
      </x:c>
      <x:c r="B10" s="14" t="n">
        <x:v>295</x:v>
      </x:c>
      <x:c r="C10" s="14" t="n">
        <x:v>7</x:v>
      </x:c>
      <x:c r="D10" s="14" t="str">
        <x:v>Понедельник</x:v>
      </x:c>
      <x:c r="E10" s="14" t="n">
        <x:v>78</x:v>
      </x:c>
      <x:c r="F10" s="14" t="n">
        <x:v>47</x:v>
      </x:c>
      <x:c r="G10" s="14" t="n">
        <x:v>31</x:v>
      </x:c>
      <x:c r="H10" s="14" t="n">
        <x:v>0</x:v>
      </x:c>
      <x:c r="I10" s="14" t="n">
        <x:v>240</x:v>
      </x:c>
    </x:row>
    <x:row r="11">
      <x:c r="A11" s="14" t="str">
        <x:v>Пн</x:v>
      </x:c>
      <x:c r="B11" s="14" t="n">
        <x:v>344</x:v>
      </x:c>
      <x:c r="C11" s="14" t="n">
        <x:v>8</x:v>
      </x:c>
      <x:c r="D11" s="14" t="str">
        <x:v>Понедельник</x:v>
      </x:c>
      <x:c r="E11" s="14" t="n">
        <x:v>78</x:v>
      </x:c>
      <x:c r="F11" s="14" t="n">
        <x:v>47</x:v>
      </x:c>
      <x:c r="G11" s="14" t="n">
        <x:v>31</x:v>
      </x:c>
      <x:c r="H11" s="14" t="n">
        <x:v>0</x:v>
      </x:c>
      <x:c r="I11" s="14" t="n">
        <x:v>215</x:v>
      </x:c>
    </x:row>
    <x:row r="12">
      <x:c r="A12" s="14" t="str">
        <x:v>Пн</x:v>
      </x:c>
      <x:c r="B12" s="14" t="n">
        <x:v>393</x:v>
      </x:c>
      <x:c r="C12" s="14" t="n">
        <x:v>9</x:v>
      </x:c>
      <x:c r="D12" s="14" t="str">
        <x:v>Понедельник (Махач)</x:v>
      </x:c>
      <x:c r="E12" s="14" t="n">
        <x:v>78</x:v>
      </x:c>
      <x:c r="F12" s="14" t="n">
        <x:v>44</x:v>
      </x:c>
      <x:c r="G12" s="14" t="n">
        <x:v>34</x:v>
      </x:c>
      <x:c r="H12" s="14" t="n">
        <x:v>0</x:v>
      </x:c>
      <x:c r="I12" s="14" t="n">
        <x:v>208</x:v>
      </x:c>
    </x:row>
    <x:row r="13">
      <x:c r="A13" s="14" t="str">
        <x:v>Вт</x:v>
      </x:c>
      <x:c r="B13" s="14" t="n">
        <x:v>1</x:v>
      </x:c>
      <x:c r="C13" s="14" t="n">
        <x:v>1</x:v>
      </x:c>
      <x:c r="D13" s="14" t="str">
        <x:v>Вторник</x:v>
      </x:c>
      <x:c r="E13" s="14" t="n">
        <x:v>78</x:v>
      </x:c>
      <x:c r="F13" s="14" t="n">
        <x:v>49</x:v>
      </x:c>
      <x:c r="G13" s="14" t="n">
        <x:v>29</x:v>
      </x:c>
      <x:c r="H13" s="14" t="n">
        <x:v>0</x:v>
      </x:c>
      <x:c r="I13" s="14" t="n">
        <x:v>264</x:v>
      </x:c>
    </x:row>
    <x:row r="14">
      <x:c r="A14" s="14" t="str">
        <x:v>Вт</x:v>
      </x:c>
      <x:c r="B14" s="14" t="n">
        <x:v>50</x:v>
      </x:c>
      <x:c r="C14" s="14" t="n">
        <x:v>2</x:v>
      </x:c>
      <x:c r="D14" s="14" t="str">
        <x:v>Вторник</x:v>
      </x:c>
      <x:c r="E14" s="14" t="n">
        <x:v>78</x:v>
      </x:c>
      <x:c r="F14" s="14" t="n">
        <x:v>47</x:v>
      </x:c>
      <x:c r="G14" s="14" t="n">
        <x:v>31</x:v>
      </x:c>
      <x:c r="H14" s="14" t="n">
        <x:v>0</x:v>
      </x:c>
      <x:c r="I14" s="14" t="n">
        <x:v>256</x:v>
      </x:c>
    </x:row>
    <x:row r="15">
      <x:c r="A15" s="14" t="str">
        <x:v>Вт</x:v>
      </x:c>
      <x:c r="B15" s="14" t="n">
        <x:v>99</x:v>
      </x:c>
      <x:c r="C15" s="14" t="n">
        <x:v>3</x:v>
      </x:c>
      <x:c r="D15" s="14" t="str">
        <x:v>Вторник</x:v>
      </x:c>
      <x:c r="E15" s="14" t="n">
        <x:v>78</x:v>
      </x:c>
      <x:c r="F15" s="14" t="n">
        <x:v>39</x:v>
      </x:c>
      <x:c r="G15" s="14" t="n">
        <x:v>39</x:v>
      </x:c>
      <x:c r="H15" s="14" t="n">
        <x:v>0</x:v>
      </x:c>
      <x:c r="I15" s="14" t="n">
        <x:v>205</x:v>
      </x:c>
    </x:row>
    <x:row r="16">
      <x:c r="A16" s="14" t="str">
        <x:v>Вт</x:v>
      </x:c>
      <x:c r="B16" s="14" t="n">
        <x:v>148</x:v>
      </x:c>
      <x:c r="C16" s="14" t="n">
        <x:v>4</x:v>
      </x:c>
      <x:c r="D16" s="14" t="str">
        <x:v>Вторник</x:v>
      </x:c>
      <x:c r="E16" s="14" t="n">
        <x:v>78</x:v>
      </x:c>
      <x:c r="F16" s="14" t="n">
        <x:v>45</x:v>
      </x:c>
      <x:c r="G16" s="14" t="n">
        <x:v>33</x:v>
      </x:c>
      <x:c r="H16" s="14" t="n">
        <x:v>0</x:v>
      </x:c>
      <x:c r="I16" s="14" t="n">
        <x:v>210</x:v>
      </x:c>
    </x:row>
    <x:row r="17">
      <x:c r="A17" s="14" t="str">
        <x:v>Вт</x:v>
      </x:c>
      <x:c r="B17" s="14" t="n">
        <x:v>197</x:v>
      </x:c>
      <x:c r="C17" s="14" t="n">
        <x:v>5</x:v>
      </x:c>
      <x:c r="D17" s="14" t="str">
        <x:v>Вторник</x:v>
      </x:c>
      <x:c r="E17" s="14" t="n">
        <x:v>78</x:v>
      </x:c>
      <x:c r="F17" s="14" t="n">
        <x:v>48</x:v>
      </x:c>
      <x:c r="G17" s="14" t="n">
        <x:v>30</x:v>
      </x:c>
      <x:c r="H17" s="14" t="n">
        <x:v>0</x:v>
      </x:c>
      <x:c r="I17" s="14" t="n">
        <x:v>203</x:v>
      </x:c>
    </x:row>
    <x:row r="18">
      <x:c r="A18" s="14" t="str">
        <x:v>Вт</x:v>
      </x:c>
      <x:c r="B18" s="14" t="n">
        <x:v>246</x:v>
      </x:c>
      <x:c r="C18" s="14" t="n">
        <x:v>6</x:v>
      </x:c>
      <x:c r="D18" s="14" t="str">
        <x:v>Вторник</x:v>
      </x:c>
      <x:c r="E18" s="14" t="n">
        <x:v>78</x:v>
      </x:c>
      <x:c r="F18" s="14" t="n">
        <x:v>50</x:v>
      </x:c>
      <x:c r="G18" s="14" t="n">
        <x:v>28</x:v>
      </x:c>
      <x:c r="H18" s="14" t="n">
        <x:v>0</x:v>
      </x:c>
      <x:c r="I18" s="14" t="n">
        <x:v>272</x:v>
      </x:c>
    </x:row>
    <x:row r="19">
      <x:c r="A19" s="14" t="str">
        <x:v>Вт</x:v>
      </x:c>
      <x:c r="B19" s="14" t="n">
        <x:v>295</x:v>
      </x:c>
      <x:c r="C19" s="14" t="n">
        <x:v>7</x:v>
      </x:c>
      <x:c r="D19" s="14" t="str">
        <x:v>Вторник</x:v>
      </x:c>
      <x:c r="E19" s="14" t="n">
        <x:v>78</x:v>
      </x:c>
      <x:c r="F19" s="14" t="n">
        <x:v>50</x:v>
      </x:c>
      <x:c r="G19" s="14" t="n">
        <x:v>28</x:v>
      </x:c>
      <x:c r="H19" s="14" t="n">
        <x:v>0</x:v>
      </x:c>
      <x:c r="I19" s="14" t="n">
        <x:v>251</x:v>
      </x:c>
    </x:row>
    <x:row r="20">
      <x:c r="A20" s="14" t="str">
        <x:v>Вт</x:v>
      </x:c>
      <x:c r="B20" s="14" t="n">
        <x:v>344</x:v>
      </x:c>
      <x:c r="C20" s="14" t="n">
        <x:v>8</x:v>
      </x:c>
      <x:c r="D20" s="14" t="str">
        <x:v>Вторник</x:v>
      </x:c>
      <x:c r="E20" s="14" t="n">
        <x:v>78</x:v>
      </x:c>
      <x:c r="F20" s="14" t="n">
        <x:v>38</x:v>
      </x:c>
      <x:c r="G20" s="14" t="n">
        <x:v>40</x:v>
      </x:c>
      <x:c r="H20" s="14" t="n">
        <x:v>0</x:v>
      </x:c>
      <x:c r="I20" s="14" t="n">
        <x:v>171</x:v>
      </x:c>
    </x:row>
    <x:row r="21">
      <x:c r="A21" s="14" t="str">
        <x:v>Вт</x:v>
      </x:c>
      <x:c r="B21" s="14" t="n">
        <x:v>393</x:v>
      </x:c>
      <x:c r="C21" s="14" t="n">
        <x:v>9</x:v>
      </x:c>
      <x:c r="D21" s="14" t="str">
        <x:v>Вторник (Хасавюрт)</x:v>
      </x:c>
      <x:c r="E21" s="14" t="n">
        <x:v>78</x:v>
      </x:c>
      <x:c r="F21" s="14" t="n">
        <x:v>45</x:v>
      </x:c>
      <x:c r="G21" s="14" t="n">
        <x:v>33</x:v>
      </x:c>
      <x:c r="H21" s="14" t="n">
        <x:v>0</x:v>
      </x:c>
      <x:c r="I21" s="14" t="n">
        <x:v>179</x:v>
      </x:c>
    </x:row>
    <x:row r="22">
      <x:c r="A22" s="14" t="str">
        <x:v>Ср</x:v>
      </x:c>
      <x:c r="B22" s="14" t="n">
        <x:v>1</x:v>
      </x:c>
      <x:c r="C22" s="14" t="n">
        <x:v>1</x:v>
      </x:c>
      <x:c r="D22" s="14" t="str">
        <x:v>Среда</x:v>
      </x:c>
      <x:c r="E22" s="14" t="n">
        <x:v>78</x:v>
      </x:c>
      <x:c r="F22" s="14" t="n">
        <x:v>50</x:v>
      </x:c>
      <x:c r="G22" s="14" t="n">
        <x:v>28</x:v>
      </x:c>
      <x:c r="H22" s="14" t="n">
        <x:v>0</x:v>
      </x:c>
      <x:c r="I22" s="14" t="n">
        <x:v>385</x:v>
      </x:c>
    </x:row>
    <x:row r="23">
      <x:c r="A23" s="14" t="str">
        <x:v>Ср</x:v>
      </x:c>
      <x:c r="B23" s="14" t="n">
        <x:v>50</x:v>
      </x:c>
      <x:c r="C23" s="14" t="n">
        <x:v>2</x:v>
      </x:c>
      <x:c r="D23" s="14" t="str">
        <x:v>Среда</x:v>
      </x:c>
      <x:c r="E23" s="14" t="n">
        <x:v>78</x:v>
      </x:c>
      <x:c r="F23" s="14" t="n">
        <x:v>51</x:v>
      </x:c>
      <x:c r="G23" s="14" t="n">
        <x:v>27</x:v>
      </x:c>
      <x:c r="H23" s="14" t="n">
        <x:v>0</x:v>
      </x:c>
      <x:c r="I23" s="14" t="n">
        <x:v>314</x:v>
      </x:c>
    </x:row>
    <x:row r="24">
      <x:c r="A24" s="14" t="str">
        <x:v>Ср</x:v>
      </x:c>
      <x:c r="B24" s="14" t="n">
        <x:v>99</x:v>
      </x:c>
      <x:c r="C24" s="14" t="n">
        <x:v>3</x:v>
      </x:c>
      <x:c r="D24" s="14" t="str">
        <x:v>Среда</x:v>
      </x:c>
      <x:c r="E24" s="14" t="n">
        <x:v>78</x:v>
      </x:c>
      <x:c r="F24" s="14" t="n">
        <x:v>44</x:v>
      </x:c>
      <x:c r="G24" s="14" t="n">
        <x:v>34</x:v>
      </x:c>
      <x:c r="H24" s="14" t="n">
        <x:v>0</x:v>
      </x:c>
      <x:c r="I24" s="14" t="n">
        <x:v>220</x:v>
      </x:c>
    </x:row>
    <x:row r="25">
      <x:c r="A25" s="14" t="str">
        <x:v>Ср</x:v>
      </x:c>
      <x:c r="B25" s="14" t="n">
        <x:v>148</x:v>
      </x:c>
      <x:c r="C25" s="14" t="n">
        <x:v>4</x:v>
      </x:c>
      <x:c r="D25" s="14" t="str">
        <x:v>Среда</x:v>
      </x:c>
      <x:c r="E25" s="14" t="n">
        <x:v>78</x:v>
      </x:c>
      <x:c r="F25" s="14" t="n">
        <x:v>46</x:v>
      </x:c>
      <x:c r="G25" s="14" t="n">
        <x:v>31</x:v>
      </x:c>
      <x:c r="H25" s="14" t="n">
        <x:v>1</x:v>
      </x:c>
      <x:c r="I25" s="14" t="n">
        <x:v>222</x:v>
      </x:c>
    </x:row>
    <x:row r="26">
      <x:c r="A26" s="14" t="str">
        <x:v>Ср</x:v>
      </x:c>
      <x:c r="B26" s="14" t="n">
        <x:v>197</x:v>
      </x:c>
      <x:c r="C26" s="14" t="n">
        <x:v>5</x:v>
      </x:c>
      <x:c r="D26" s="14" t="str">
        <x:v>Среда</x:v>
      </x:c>
      <x:c r="E26" s="14" t="n">
        <x:v>78</x:v>
      </x:c>
      <x:c r="F26" s="14" t="n">
        <x:v>42</x:v>
      </x:c>
      <x:c r="G26" s="14" t="n">
        <x:v>36</x:v>
      </x:c>
      <x:c r="H26" s="14" t="n">
        <x:v>0</x:v>
      </x:c>
      <x:c r="I26" s="14" t="n">
        <x:v>192</x:v>
      </x:c>
    </x:row>
    <x:row r="27">
      <x:c r="A27" s="14" t="str">
        <x:v>Ср</x:v>
      </x:c>
      <x:c r="B27" s="14" t="n">
        <x:v>246</x:v>
      </x:c>
      <x:c r="C27" s="14" t="n">
        <x:v>6</x:v>
      </x:c>
      <x:c r="D27" s="14" t="str">
        <x:v>Среда</x:v>
      </x:c>
      <x:c r="E27" s="14" t="n">
        <x:v>78</x:v>
      </x:c>
      <x:c r="F27" s="14" t="n">
        <x:v>50</x:v>
      </x:c>
      <x:c r="G27" s="14" t="n">
        <x:v>28</x:v>
      </x:c>
      <x:c r="H27" s="14" t="n">
        <x:v>0</x:v>
      </x:c>
      <x:c r="I27" s="14" t="n">
        <x:v>262</x:v>
      </x:c>
    </x:row>
    <x:row r="28">
      <x:c r="A28" s="14" t="str">
        <x:v>Ср</x:v>
      </x:c>
      <x:c r="B28" s="14" t="n">
        <x:v>295</x:v>
      </x:c>
      <x:c r="C28" s="14" t="n">
        <x:v>7</x:v>
      </x:c>
      <x:c r="D28" s="14" t="str">
        <x:v>Среда</x:v>
      </x:c>
      <x:c r="E28" s="14" t="n">
        <x:v>78</x:v>
      </x:c>
      <x:c r="F28" s="14" t="n">
        <x:v>46</x:v>
      </x:c>
      <x:c r="G28" s="14" t="n">
        <x:v>32</x:v>
      </x:c>
      <x:c r="H28" s="14" t="n">
        <x:v>0</x:v>
      </x:c>
      <x:c r="I28" s="14" t="n">
        <x:v>239</x:v>
      </x:c>
    </x:row>
    <x:row r="29">
      <x:c r="A29" s="14" t="str">
        <x:v>Ср</x:v>
      </x:c>
      <x:c r="B29" s="14" t="n">
        <x:v>344</x:v>
      </x:c>
      <x:c r="C29" s="14" t="n">
        <x:v>8</x:v>
      </x:c>
      <x:c r="D29" s="14" t="str">
        <x:v>Среда</x:v>
      </x:c>
      <x:c r="E29" s="14" t="n">
        <x:v>78</x:v>
      </x:c>
      <x:c r="F29" s="14" t="n">
        <x:v>44</x:v>
      </x:c>
      <x:c r="G29" s="14" t="n">
        <x:v>34</x:v>
      </x:c>
      <x:c r="H29" s="14" t="n">
        <x:v>0</x:v>
      </x:c>
      <x:c r="I29" s="14" t="n">
        <x:v>231</x:v>
      </x:c>
    </x:row>
    <x:row r="30">
      <x:c r="A30" s="14" t="str">
        <x:v>Ср</x:v>
      </x:c>
      <x:c r="B30" s="14" t="n">
        <x:v>393</x:v>
      </x:c>
      <x:c r="C30" s="14" t="n">
        <x:v>9</x:v>
      </x:c>
      <x:c r="D30" s="14" t="str">
        <x:v>Среда (ЧР)</x:v>
      </x:c>
      <x:c r="E30" s="14" t="n">
        <x:v>78</x:v>
      </x:c>
      <x:c r="F30" s="14" t="n">
        <x:v>42</x:v>
      </x:c>
      <x:c r="G30" s="14" t="n">
        <x:v>36</x:v>
      </x:c>
      <x:c r="H30" s="14" t="n">
        <x:v>0</x:v>
      </x:c>
      <x:c r="I30" s="14" t="n">
        <x:v>191</x:v>
      </x:c>
    </x:row>
    <x:row r="31">
      <x:c r="A31" s="14" t="str">
        <x:v>Чт</x:v>
      </x:c>
      <x:c r="B31" s="14" t="n">
        <x:v>1</x:v>
      </x:c>
      <x:c r="C31" s="14" t="n">
        <x:v>1</x:v>
      </x:c>
      <x:c r="D31" s="14" t="str">
        <x:v>Четверг</x:v>
      </x:c>
      <x:c r="E31" s="14" t="n">
        <x:v>78</x:v>
      </x:c>
      <x:c r="F31" s="14" t="n">
        <x:v>50</x:v>
      </x:c>
      <x:c r="G31" s="14" t="n">
        <x:v>28</x:v>
      </x:c>
      <x:c r="H31" s="14" t="n">
        <x:v>0</x:v>
      </x:c>
      <x:c r="I31" s="14" t="n">
        <x:v>176</x:v>
      </x:c>
    </x:row>
    <x:row r="32">
      <x:c r="A32" s="14" t="str">
        <x:v>Чт</x:v>
      </x:c>
      <x:c r="B32" s="14" t="n">
        <x:v>50</x:v>
      </x:c>
      <x:c r="C32" s="14" t="n">
        <x:v>2</x:v>
      </x:c>
      <x:c r="D32" s="14" t="str">
        <x:v>Четверг</x:v>
      </x:c>
      <x:c r="E32" s="14" t="n">
        <x:v>78</x:v>
      </x:c>
      <x:c r="F32" s="14" t="n">
        <x:v>49</x:v>
      </x:c>
      <x:c r="G32" s="14" t="n">
        <x:v>29</x:v>
      </x:c>
      <x:c r="H32" s="14" t="n">
        <x:v>0</x:v>
      </x:c>
      <x:c r="I32" s="14" t="n">
        <x:v>249</x:v>
      </x:c>
    </x:row>
    <x:row r="33">
      <x:c r="A33" s="14" t="str">
        <x:v>Чт</x:v>
      </x:c>
      <x:c r="B33" s="14" t="n">
        <x:v>99</x:v>
      </x:c>
      <x:c r="C33" s="14" t="n">
        <x:v>3</x:v>
      </x:c>
      <x:c r="D33" s="14" t="str">
        <x:v>Четверг</x:v>
      </x:c>
      <x:c r="E33" s="14" t="n">
        <x:v>78</x:v>
      </x:c>
      <x:c r="F33" s="14" t="n">
        <x:v>39</x:v>
      </x:c>
      <x:c r="G33" s="14" t="n">
        <x:v>39</x:v>
      </x:c>
      <x:c r="H33" s="14" t="n">
        <x:v>0</x:v>
      </x:c>
      <x:c r="I33" s="14" t="n">
        <x:v>191</x:v>
      </x:c>
    </x:row>
    <x:row r="34">
      <x:c r="A34" s="14" t="str">
        <x:v>Чт</x:v>
      </x:c>
      <x:c r="B34" s="14" t="n">
        <x:v>148</x:v>
      </x:c>
      <x:c r="C34" s="14" t="n">
        <x:v>4</x:v>
      </x:c>
      <x:c r="D34" s="14" t="str">
        <x:v>Четверг</x:v>
      </x:c>
      <x:c r="E34" s="14" t="n">
        <x:v>78</x:v>
      </x:c>
      <x:c r="F34" s="14" t="n">
        <x:v>45</x:v>
      </x:c>
      <x:c r="G34" s="14" t="n">
        <x:v>33</x:v>
      </x:c>
      <x:c r="H34" s="14" t="n">
        <x:v>0</x:v>
      </x:c>
      <x:c r="I34" s="14" t="n">
        <x:v>185</x:v>
      </x:c>
    </x:row>
    <x:row r="35">
      <x:c r="A35" s="14" t="str">
        <x:v>Чт</x:v>
      </x:c>
      <x:c r="B35" s="14" t="n">
        <x:v>197</x:v>
      </x:c>
      <x:c r="C35" s="14" t="n">
        <x:v>5</x:v>
      </x:c>
      <x:c r="D35" s="14" t="str">
        <x:v>Четверг</x:v>
      </x:c>
      <x:c r="E35" s="14" t="n">
        <x:v>78</x:v>
      </x:c>
      <x:c r="F35" s="14" t="n">
        <x:v>48</x:v>
      </x:c>
      <x:c r="G35" s="14" t="n">
        <x:v>30</x:v>
      </x:c>
      <x:c r="H35" s="14" t="n">
        <x:v>0</x:v>
      </x:c>
      <x:c r="I35" s="14" t="n">
        <x:v>189</x:v>
      </x:c>
    </x:row>
    <x:row r="36">
      <x:c r="A36" s="14" t="str">
        <x:v>Чт</x:v>
      </x:c>
      <x:c r="B36" s="14" t="n">
        <x:v>246</x:v>
      </x:c>
      <x:c r="C36" s="14" t="n">
        <x:v>6</x:v>
      </x:c>
      <x:c r="D36" s="14" t="str">
        <x:v>Четверг</x:v>
      </x:c>
      <x:c r="E36" s="14" t="n">
        <x:v>78</x:v>
      </x:c>
      <x:c r="F36" s="14" t="n">
        <x:v>50</x:v>
      </x:c>
      <x:c r="G36" s="14" t="n">
        <x:v>28</x:v>
      </x:c>
      <x:c r="H36" s="14" t="n">
        <x:v>0</x:v>
      </x:c>
      <x:c r="I36" s="14" t="n">
        <x:v>273</x:v>
      </x:c>
    </x:row>
    <x:row r="37">
      <x:c r="A37" s="14" t="str">
        <x:v>Чт</x:v>
      </x:c>
      <x:c r="B37" s="14" t="n">
        <x:v>295</x:v>
      </x:c>
      <x:c r="C37" s="14" t="n">
        <x:v>7</x:v>
      </x:c>
      <x:c r="D37" s="14" t="str">
        <x:v>Четверг</x:v>
      </x:c>
      <x:c r="E37" s="14" t="n">
        <x:v>78</x:v>
      </x:c>
      <x:c r="F37" s="14" t="n">
        <x:v>50</x:v>
      </x:c>
      <x:c r="G37" s="14" t="n">
        <x:v>28</x:v>
      </x:c>
      <x:c r="H37" s="14" t="n">
        <x:v>0</x:v>
      </x:c>
      <x:c r="I37" s="14" t="n">
        <x:v>235</x:v>
      </x:c>
    </x:row>
    <x:row r="38">
      <x:c r="A38" s="14" t="str">
        <x:v>Чт</x:v>
      </x:c>
      <x:c r="B38" s="14" t="n">
        <x:v>344</x:v>
      </x:c>
      <x:c r="C38" s="14" t="n">
        <x:v>8</x:v>
      </x:c>
      <x:c r="D38" s="14" t="str">
        <x:v>Четверг</x:v>
      </x:c>
      <x:c r="E38" s="14" t="n">
        <x:v>78</x:v>
      </x:c>
      <x:c r="F38" s="14" t="n">
        <x:v>37</x:v>
      </x:c>
      <x:c r="G38" s="14" t="n">
        <x:v>41</x:v>
      </x:c>
      <x:c r="H38" s="14" t="n">
        <x:v>0</x:v>
      </x:c>
      <x:c r="I38" s="14" t="n">
        <x:v>146</x:v>
      </x:c>
    </x:row>
    <x:row r="39">
      <x:c r="A39" s="14" t="str">
        <x:v>Чт</x:v>
      </x:c>
      <x:c r="B39" s="14" t="n">
        <x:v>393</x:v>
      </x:c>
      <x:c r="C39" s="14" t="n">
        <x:v>9</x:v>
      </x:c>
      <x:c r="D39" s="14" t="str">
        <x:v>Пятница (ЧР)</x:v>
      </x:c>
      <x:c r="E39" s="14" t="n">
        <x:v>78</x:v>
      </x:c>
      <x:c r="F39" s="14" t="n">
        <x:v>46</x:v>
      </x:c>
      <x:c r="G39" s="14" t="n">
        <x:v>32</x:v>
      </x:c>
      <x:c r="H39" s="14" t="n">
        <x:v>0</x:v>
      </x:c>
      <x:c r="I39" s="14" t="n">
        <x:v>259</x:v>
      </x:c>
    </x:row>
    <x:row r="40">
      <x:c r="A40" s="14" t="str">
        <x:v>Чт</x:v>
      </x:c>
      <x:c r="B40" s="14" t="n">
        <x:v>442</x:v>
      </x:c>
      <x:c r="C40" s="14" t="n">
        <x:v>9</x:v>
      </x:c>
      <x:c r="D40" s="14" t="str">
        <x:v>Пятница (Каспийск)</x:v>
      </x:c>
      <x:c r="E40" s="14" t="n">
        <x:v>78</x:v>
      </x:c>
      <x:c r="F40" s="14" t="n">
        <x:v>44</x:v>
      </x:c>
      <x:c r="G40" s="14" t="n">
        <x:v>31</x:v>
      </x:c>
      <x:c r="H40" s="14" t="n">
        <x:v>3</x:v>
      </x:c>
      <x:c r="I40" s="14" t="n">
        <x:v>194</x:v>
      </x:c>
    </x:row>
    <x:row r="41">
      <x:c r="A41" s="14" t="str">
        <x:v>Сб</x:v>
      </x:c>
      <x:c r="B41" s="14" t="n">
        <x:v>1</x:v>
      </x:c>
      <x:c r="C41" s="14" t="n">
        <x:v>1</x:v>
      </x:c>
      <x:c r="D41" s="14" t="str">
        <x:v>Суббота</x:v>
      </x:c>
      <x:c r="E41" s="14" t="n">
        <x:v>78</x:v>
      </x:c>
      <x:c r="F41" s="14" t="n">
        <x:v>49</x:v>
      </x:c>
      <x:c r="G41" s="14" t="n">
        <x:v>29</x:v>
      </x:c>
      <x:c r="H41" s="14" t="n">
        <x:v>0</x:v>
      </x:c>
      <x:c r="I41" s="14" t="n">
        <x:v>250</x:v>
      </x:c>
    </x:row>
    <x:row r="42">
      <x:c r="A42" s="14" t="str">
        <x:v>Сб</x:v>
      </x:c>
      <x:c r="B42" s="14" t="n">
        <x:v>50</x:v>
      </x:c>
      <x:c r="C42" s="14" t="n">
        <x:v>2</x:v>
      </x:c>
      <x:c r="D42" s="14" t="str">
        <x:v>Суббота</x:v>
      </x:c>
      <x:c r="E42" s="14" t="n">
        <x:v>78</x:v>
      </x:c>
      <x:c r="F42" s="14" t="n">
        <x:v>46</x:v>
      </x:c>
      <x:c r="G42" s="14" t="n">
        <x:v>32</x:v>
      </x:c>
      <x:c r="H42" s="14" t="n">
        <x:v>0</x:v>
      </x:c>
      <x:c r="I42" s="14" t="n">
        <x:v>292</x:v>
      </x:c>
    </x:row>
    <x:row r="43">
      <x:c r="A43" s="14" t="str">
        <x:v>Сб</x:v>
      </x:c>
      <x:c r="B43" s="14" t="n">
        <x:v>99</x:v>
      </x:c>
      <x:c r="C43" s="14" t="n">
        <x:v>3</x:v>
      </x:c>
      <x:c r="D43" s="14" t="str">
        <x:v>Суббота</x:v>
      </x:c>
      <x:c r="E43" s="14" t="n">
        <x:v>78</x:v>
      </x:c>
      <x:c r="F43" s="14" t="n">
        <x:v>41</x:v>
      </x:c>
      <x:c r="G43" s="14" t="n">
        <x:v>37</x:v>
      </x:c>
      <x:c r="H43" s="14" t="n">
        <x:v>0</x:v>
      </x:c>
      <x:c r="I43" s="14" t="n">
        <x:v>201</x:v>
      </x:c>
    </x:row>
    <x:row r="44">
      <x:c r="A44" s="14" t="str">
        <x:v>Сб</x:v>
      </x:c>
      <x:c r="B44" s="14" t="n">
        <x:v>148</x:v>
      </x:c>
      <x:c r="C44" s="14" t="n">
        <x:v>4</x:v>
      </x:c>
      <x:c r="D44" s="14" t="str">
        <x:v>Суббота</x:v>
      </x:c>
      <x:c r="E44" s="14" t="n">
        <x:v>78</x:v>
      </x:c>
      <x:c r="F44" s="14" t="n">
        <x:v>46</x:v>
      </x:c>
      <x:c r="G44" s="14" t="n">
        <x:v>32</x:v>
      </x:c>
      <x:c r="H44" s="14" t="n">
        <x:v>0</x:v>
      </x:c>
      <x:c r="I44" s="14" t="n">
        <x:v>201</x:v>
      </x:c>
    </x:row>
    <x:row r="45">
      <x:c r="A45" s="14" t="str">
        <x:v>Сб</x:v>
      </x:c>
      <x:c r="B45" s="14" t="n">
        <x:v>197</x:v>
      </x:c>
      <x:c r="C45" s="14" t="n">
        <x:v>5</x:v>
      </x:c>
      <x:c r="D45" s="14" t="str">
        <x:v>Суббота</x:v>
      </x:c>
      <x:c r="E45" s="14" t="n">
        <x:v>78</x:v>
      </x:c>
      <x:c r="F45" s="14" t="n">
        <x:v>40</x:v>
      </x:c>
      <x:c r="G45" s="14" t="n">
        <x:v>38</x:v>
      </x:c>
      <x:c r="H45" s="14" t="n">
        <x:v>0</x:v>
      </x:c>
      <x:c r="I45" s="14" t="n">
        <x:v>185</x:v>
      </x:c>
    </x:row>
    <x:row r="46">
      <x:c r="A46" s="14" t="str">
        <x:v>Сб</x:v>
      </x:c>
      <x:c r="B46" s="14" t="n">
        <x:v>246</x:v>
      </x:c>
      <x:c r="C46" s="14" t="n">
        <x:v>6</x:v>
      </x:c>
      <x:c r="D46" s="14" t="str">
        <x:v>Суббота</x:v>
      </x:c>
      <x:c r="E46" s="14" t="n">
        <x:v>78</x:v>
      </x:c>
      <x:c r="F46" s="14" t="n">
        <x:v>48</x:v>
      </x:c>
      <x:c r="G46" s="14" t="n">
        <x:v>30</x:v>
      </x:c>
      <x:c r="H46" s="14" t="n">
        <x:v>0</x:v>
      </x:c>
      <x:c r="I46" s="14" t="n">
        <x:v>253</x:v>
      </x:c>
    </x:row>
    <x:row r="47">
      <x:c r="A47" s="14" t="str">
        <x:v>Сб</x:v>
      </x:c>
      <x:c r="B47" s="14" t="n">
        <x:v>295</x:v>
      </x:c>
      <x:c r="C47" s="14" t="n">
        <x:v>7</x:v>
      </x:c>
      <x:c r="D47" s="14" t="str">
        <x:v>Суббота</x:v>
      </x:c>
      <x:c r="E47" s="14" t="n">
        <x:v>78</x:v>
      </x:c>
      <x:c r="F47" s="14" t="n">
        <x:v>47</x:v>
      </x:c>
      <x:c r="G47" s="14" t="n">
        <x:v>31</x:v>
      </x:c>
      <x:c r="H47" s="14" t="n">
        <x:v>0</x:v>
      </x:c>
      <x:c r="I47" s="14" t="n">
        <x:v>225</x:v>
      </x:c>
    </x:row>
    <x:row r="48">
      <x:c r="A48" s="14" t="str">
        <x:v>Сб</x:v>
      </x:c>
      <x:c r="B48" s="14" t="n">
        <x:v>344</x:v>
      </x:c>
      <x:c r="C48" s="14" t="n">
        <x:v>8</x:v>
      </x:c>
      <x:c r="D48" s="14" t="str">
        <x:v>Суббота</x:v>
      </x:c>
      <x:c r="E48" s="14" t="n">
        <x:v>78</x:v>
      </x:c>
      <x:c r="F48" s="14" t="n">
        <x:v>42</x:v>
      </x:c>
      <x:c r="G48" s="14" t="n">
        <x:v>36</x:v>
      </x:c>
      <x:c r="H48" s="14" t="n">
        <x:v>0</x:v>
      </x:c>
      <x:c r="I48" s="14" t="n">
        <x:v>188</x:v>
      </x:c>
    </x:row>
    <x:row r="49">
      <x:c r="A49" s="14" t="str">
        <x:v>Сб</x:v>
      </x:c>
      <x:c r="B49" s="14" t="n">
        <x:v>393</x:v>
      </x:c>
      <x:c r="C49" s="14" t="n">
        <x:v>9</x:v>
      </x:c>
      <x:c r="D49" s="14" t="str">
        <x:v>Суббота (Хасавюрт)</x:v>
      </x:c>
      <x:c r="E49" s="14" t="n">
        <x:v>78</x:v>
      </x:c>
      <x:c r="F49" s="14" t="n">
        <x:v>45</x:v>
      </x:c>
      <x:c r="G49" s="14" t="n">
        <x:v>33</x:v>
      </x:c>
      <x:c r="H49" s="14" t="n">
        <x:v>0</x:v>
      </x:c>
      <x:c r="I49" s="14" t="n">
        <x:v>160</x:v>
      </x:c>
    </x:row>
    <x:row r="50">
      <x:c r="A50" s="14" t="str">
        <x:v>Вс</x:v>
      </x:c>
      <x:c r="B50" s="14" t="n">
        <x:v>1</x:v>
      </x:c>
      <x:c r="C50" s="14" t="n">
        <x:v>1</x:v>
      </x:c>
      <x:c r="D50" s="14" t="str">
        <x:v>Воскресенье</x:v>
      </x:c>
      <x:c r="E50" s="14" t="n">
        <x:v>78</x:v>
      </x:c>
      <x:c r="F50" s="14" t="n">
        <x:v>50</x:v>
      </x:c>
      <x:c r="G50" s="14" t="n">
        <x:v>28</x:v>
      </x:c>
      <x:c r="H50" s="14" t="n">
        <x:v>0</x:v>
      </x:c>
      <x:c r="I50" s="14" t="n">
        <x:v>363</x:v>
      </x:c>
    </x:row>
    <x:row r="51">
      <x:c r="A51" s="14" t="str">
        <x:v>Вс</x:v>
      </x:c>
      <x:c r="B51" s="14" t="n">
        <x:v>50</x:v>
      </x:c>
      <x:c r="C51" s="14" t="n">
        <x:v>2</x:v>
      </x:c>
      <x:c r="D51" s="14" t="str">
        <x:v>Воскресенье</x:v>
      </x:c>
      <x:c r="E51" s="14" t="n">
        <x:v>78</x:v>
      </x:c>
      <x:c r="F51" s="14" t="n">
        <x:v>47</x:v>
      </x:c>
      <x:c r="G51" s="14" t="n">
        <x:v>31</x:v>
      </x:c>
      <x:c r="H51" s="14" t="n">
        <x:v>0</x:v>
      </x:c>
      <x:c r="I51" s="14" t="n">
        <x:v>244</x:v>
      </x:c>
    </x:row>
    <x:row r="52">
      <x:c r="A52" s="14" t="str">
        <x:v>Вс</x:v>
      </x:c>
      <x:c r="B52" s="14" t="n">
        <x:v>99</x:v>
      </x:c>
      <x:c r="C52" s="14" t="n">
        <x:v>3</x:v>
      </x:c>
      <x:c r="D52" s="14" t="str">
        <x:v>Воскресенье</x:v>
      </x:c>
      <x:c r="E52" s="14" t="n">
        <x:v>78</x:v>
      </x:c>
      <x:c r="F52" s="14" t="n">
        <x:v>40</x:v>
      </x:c>
      <x:c r="G52" s="14" t="n">
        <x:v>38</x:v>
      </x:c>
      <x:c r="H52" s="14" t="n">
        <x:v>0</x:v>
      </x:c>
      <x:c r="I52" s="14" t="n">
        <x:v>192</x:v>
      </x:c>
    </x:row>
    <x:row r="53">
      <x:c r="A53" s="14" t="str">
        <x:v>Вс</x:v>
      </x:c>
      <x:c r="B53" s="14" t="n">
        <x:v>148</x:v>
      </x:c>
      <x:c r="C53" s="14" t="n">
        <x:v>4</x:v>
      </x:c>
      <x:c r="D53" s="14" t="str">
        <x:v>Воскресенье</x:v>
      </x:c>
      <x:c r="E53" s="14" t="n">
        <x:v>78</x:v>
      </x:c>
      <x:c r="F53" s="14" t="n">
        <x:v>43</x:v>
      </x:c>
      <x:c r="G53" s="14" t="n">
        <x:v>35</x:v>
      </x:c>
      <x:c r="H53" s="14" t="n">
        <x:v>0</x:v>
      </x:c>
      <x:c r="I53" s="14" t="n">
        <x:v>176</x:v>
      </x:c>
    </x:row>
    <x:row r="54">
      <x:c r="A54" s="14" t="str">
        <x:v>Вс</x:v>
      </x:c>
      <x:c r="B54" s="14" t="n">
        <x:v>197</x:v>
      </x:c>
      <x:c r="C54" s="14" t="n">
        <x:v>5</x:v>
      </x:c>
      <x:c r="D54" s="14" t="str">
        <x:v>Воскресенье</x:v>
      </x:c>
      <x:c r="E54" s="14" t="n">
        <x:v>78</x:v>
      </x:c>
      <x:c r="F54" s="14" t="n">
        <x:v>48</x:v>
      </x:c>
      <x:c r="G54" s="14" t="n">
        <x:v>30</x:v>
      </x:c>
      <x:c r="H54" s="14" t="n">
        <x:v>0</x:v>
      </x:c>
      <x:c r="I54" s="14" t="n">
        <x:v>189</x:v>
      </x:c>
    </x:row>
    <x:row r="55">
      <x:c r="A55" s="14" t="str">
        <x:v>Вс</x:v>
      </x:c>
      <x:c r="B55" s="14" t="n">
        <x:v>246</x:v>
      </x:c>
      <x:c r="C55" s="14" t="n">
        <x:v>6</x:v>
      </x:c>
      <x:c r="D55" s="14" t="str">
        <x:v>Воскресенье</x:v>
      </x:c>
      <x:c r="E55" s="14" t="n">
        <x:v>78</x:v>
      </x:c>
      <x:c r="F55" s="14" t="n">
        <x:v>50</x:v>
      </x:c>
      <x:c r="G55" s="14" t="n">
        <x:v>28</x:v>
      </x:c>
      <x:c r="H55" s="14" t="n">
        <x:v>0</x:v>
      </x:c>
      <x:c r="I55" s="14" t="n">
        <x:v>239</x:v>
      </x:c>
    </x:row>
    <x:row r="56">
      <x:c r="A56" s="14" t="str">
        <x:v>Вс</x:v>
      </x:c>
      <x:c r="B56" s="14" t="n">
        <x:v>295</x:v>
      </x:c>
      <x:c r="C56" s="14" t="n">
        <x:v>7</x:v>
      </x:c>
      <x:c r="D56" s="14" t="str">
        <x:v>Воскресенье</x:v>
      </x:c>
      <x:c r="E56" s="14" t="n">
        <x:v>78</x:v>
      </x:c>
      <x:c r="F56" s="14" t="n">
        <x:v>49</x:v>
      </x:c>
      <x:c r="G56" s="14" t="n">
        <x:v>29</x:v>
      </x:c>
      <x:c r="H56" s="14" t="n">
        <x:v>0</x:v>
      </x:c>
      <x:c r="I56" s="14" t="n">
        <x:v>236</x:v>
      </x:c>
    </x:row>
    <x:row r="57">
      <x:c r="A57" s="14" t="str">
        <x:v>Вс</x:v>
      </x:c>
      <x:c r="B57" s="14" t="n">
        <x:v>344</x:v>
      </x:c>
      <x:c r="C57" s="14" t="n">
        <x:v>8</x:v>
      </x:c>
      <x:c r="D57" s="14" t="str">
        <x:v>Воскресенье</x:v>
      </x:c>
      <x:c r="E57" s="14" t="n">
        <x:v>78</x:v>
      </x:c>
      <x:c r="F57" s="14" t="n">
        <x:v>39</x:v>
      </x:c>
      <x:c r="G57" s="14" t="n">
        <x:v>39</x:v>
      </x:c>
      <x:c r="H57" s="14" t="n">
        <x:v>0</x:v>
      </x:c>
      <x:c r="I57" s="14" t="n">
        <x:v>168</x:v>
      </x:c>
    </x:row>
    <x:row r="58">
      <x:c r="A58" s="14" t="str">
        <x:v>Вс</x:v>
      </x:c>
      <x:c r="B58" s="14" t="n">
        <x:v>393</x:v>
      </x:c>
      <x:c r="C58" s="14" t="n">
        <x:v>9</x:v>
      </x:c>
      <x:c r="D58" s="14" t="str">
        <x:v>Воскресенье (ЧР)</x:v>
      </x:c>
      <x:c r="E58" s="14" t="n">
        <x:v>78</x:v>
      </x:c>
      <x:c r="F58" s="14" t="n">
        <x:v>47</x:v>
      </x:c>
      <x:c r="G58" s="14" t="n">
        <x:v>28</x:v>
      </x:c>
      <x:c r="H58" s="14" t="n">
        <x:v>3</x:v>
      </x:c>
      <x:c r="I58" s="14" t="n">
        <x:v>176</x:v>
      </x:c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</x:row>
    <x:row r="60">
      <x:c r="A60" s="18" t="str">
        <x:v>Итого</x:v>
      </x:c>
      <x:c r="B60" s="18" t="str">
        <x:v>Товарных строк</x:v>
      </x:c>
      <x:c r="C60" s="18" t="str">
        <x:v>Пустых</x:v>
      </x:c>
      <x:c r="D60" s="18" t="str">
        <x:v>Положительных + нулей</x:v>
      </x:c>
      <x:c r="E60" s="14"/>
      <x:c r="F60" s="14"/>
      <x:c r="G60" s="14"/>
      <x:c r="H60" s="14"/>
      <x:c r="I60" s="14"/>
    </x:row>
    <x:row r="61">
      <x:c r="A61" s="14" t="n">
        <x:f>COUNTA('Контроль блоков'!$A$4:$A$58)</x:f>
        <x:v>55</x:v>
      </x:c>
      <x:c r="B61" s="14" t="n">
        <x:f>SUM('Контроль блоков'!$E$4:$E$58)</x:f>
        <x:v>4290</x:v>
      </x:c>
      <x:c r="C61" s="14" t="n">
        <x:f>SUM('Контроль блоков'!$H$4:$H$58)</x:f>
        <x:v>7</x:v>
      </x:c>
      <x:c r="D61" s="14" t="n">
        <x:f>SUM('Контроль блоков'!$F$4:$G$58)</x:f>
        <x:v>4283</x:v>
      </x:c>
      <x:c r="E61" s="14"/>
      <x:c r="F61" s="14"/>
      <x:c r="G61" s="14"/>
      <x:c r="H61" s="14"/>
      <x:c r="I61" s="14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79ba6cf882eb45d7"/>
  </x:tableParts>
</x:worksheet>
</file>